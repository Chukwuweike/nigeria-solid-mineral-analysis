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Data_Project\Mineral_Market_Analysis\"/>
    </mc:Choice>
  </mc:AlternateContent>
  <xr:revisionPtr revIDLastSave="0" documentId="13_ncr:1_{180C51F9-2752-4464-BE5E-F6B82717B5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_Data" sheetId="1" r:id="rId1"/>
    <sheet name="KPIs" sheetId="2" r:id="rId2"/>
    <sheet name="KPIs_Copy" sheetId="4" r:id="rId3"/>
  </sheets>
  <calcPr calcId="191029"/>
</workbook>
</file>

<file path=xl/calcChain.xml><?xml version="1.0" encoding="utf-8"?>
<calcChain xmlns="http://schemas.openxmlformats.org/spreadsheetml/2006/main">
  <c r="F104" i="4" l="1"/>
  <c r="F105" i="4"/>
  <c r="F106" i="4"/>
  <c r="F107" i="4"/>
  <c r="F103" i="4"/>
  <c r="G66" i="4"/>
  <c r="G67" i="4"/>
  <c r="G68" i="4"/>
  <c r="G69" i="4"/>
  <c r="G70" i="4"/>
  <c r="H65" i="4"/>
  <c r="G65" i="4"/>
  <c r="H66" i="4"/>
  <c r="H67" i="4"/>
  <c r="H68" i="4"/>
  <c r="H69" i="4"/>
  <c r="H70" i="4"/>
  <c r="E10" i="2"/>
  <c r="C10" i="2"/>
  <c r="C6" i="2"/>
  <c r="H25" i="2"/>
  <c r="I25" i="2" s="1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E3" i="2"/>
  <c r="E4" i="2"/>
  <c r="E5" i="2"/>
  <c r="E6" i="2"/>
  <c r="E7" i="2"/>
  <c r="E8" i="2"/>
  <c r="E9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2" i="2"/>
  <c r="C3" i="2"/>
  <c r="C4" i="2"/>
  <c r="C5" i="2"/>
  <c r="C7" i="2"/>
  <c r="C8" i="2"/>
  <c r="C9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H2" i="2"/>
  <c r="I2" i="2" s="1"/>
  <c r="F2" i="2"/>
  <c r="G2" i="2" s="1"/>
  <c r="E2" i="2"/>
  <c r="C2" i="2"/>
</calcChain>
</file>

<file path=xl/sharedStrings.xml><?xml version="1.0" encoding="utf-8"?>
<sst xmlns="http://schemas.openxmlformats.org/spreadsheetml/2006/main" count="323" uniqueCount="43">
  <si>
    <t>YEAR</t>
  </si>
  <si>
    <t>MINERAL</t>
  </si>
  <si>
    <t>PROD. QTY
(Tonnes)</t>
  </si>
  <si>
    <t>EXPORT VOL.
(Tonnes)</t>
  </si>
  <si>
    <t>GLOBAL DEMAND 
base on World Prod.
(Tonnes)</t>
  </si>
  <si>
    <t>Barite</t>
  </si>
  <si>
    <t>Coal</t>
  </si>
  <si>
    <t>Copper</t>
  </si>
  <si>
    <t>Gold</t>
  </si>
  <si>
    <t>Gypsum</t>
  </si>
  <si>
    <t>Iron Ore</t>
  </si>
  <si>
    <t>Kaolin</t>
  </si>
  <si>
    <t>Lead/Zinc Ore</t>
  </si>
  <si>
    <t>Limestone</t>
  </si>
  <si>
    <t>NA</t>
  </si>
  <si>
    <t>Lithium</t>
  </si>
  <si>
    <t>Manganese</t>
  </si>
  <si>
    <t>Mica</t>
  </si>
  <si>
    <t>Tantalite</t>
  </si>
  <si>
    <t>Tin Ore</t>
  </si>
  <si>
    <t>Year</t>
  </si>
  <si>
    <t>Minerals</t>
  </si>
  <si>
    <t>YoY_Prod_%</t>
  </si>
  <si>
    <t>YoY_Export_%</t>
  </si>
  <si>
    <t>YoY_Global_Demand_%</t>
  </si>
  <si>
    <t>Export_Intensity</t>
  </si>
  <si>
    <t>Global_Share</t>
  </si>
  <si>
    <t>Beryl</t>
  </si>
  <si>
    <t>Talc</t>
  </si>
  <si>
    <t>Feldspar</t>
  </si>
  <si>
    <t>Columbite</t>
  </si>
  <si>
    <t>Export_Intensity_Category</t>
  </si>
  <si>
    <t>Global_Share_Category</t>
  </si>
  <si>
    <t>No Export</t>
  </si>
  <si>
    <t>Negligible</t>
  </si>
  <si>
    <t>Low</t>
  </si>
  <si>
    <t>Significant</t>
  </si>
  <si>
    <t>Medium</t>
  </si>
  <si>
    <t>Moderate</t>
  </si>
  <si>
    <t>Above Unity</t>
  </si>
  <si>
    <t>High</t>
  </si>
  <si>
    <t>Total_Exports</t>
  </si>
  <si>
    <t>Category_Distribution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</si>
</sst>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%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10" fontId="3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  <xf numFmtId="4" fontId="0" fillId="0" borderId="0" xfId="0" applyNumberFormat="1"/>
    <xf numFmtId="40" fontId="0" fillId="0" borderId="0" xfId="0" applyNumberFormat="1"/>
    <xf numFmtId="4" fontId="3" fillId="0" borderId="0" xfId="0" applyNumberFormat="1" applyFont="1" applyAlignment="1">
      <alignment wrapText="1"/>
    </xf>
    <xf numFmtId="40" fontId="3" fillId="0" borderId="0" xfId="0" applyNumberFormat="1" applyFont="1" applyAlignment="1">
      <alignment wrapText="1"/>
    </xf>
    <xf numFmtId="4" fontId="4" fillId="0" borderId="0" xfId="0" applyNumberFormat="1" applyFont="1"/>
    <xf numFmtId="0" fontId="2" fillId="0" borderId="0" xfId="0" applyFont="1"/>
    <xf numFmtId="164" fontId="5" fillId="0" borderId="0" xfId="0" applyNumberFormat="1" applyFont="1"/>
    <xf numFmtId="10" fontId="6" fillId="0" borderId="0" xfId="0" applyNumberFormat="1" applyFont="1"/>
    <xf numFmtId="2" fontId="6" fillId="0" borderId="0" xfId="0" applyNumberFormat="1" applyFont="1"/>
    <xf numFmtId="164" fontId="6" fillId="0" borderId="0" xfId="0" applyNumberFormat="1" applyFont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38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numFmt numFmtId="164" formatCode="0.0000%"/>
    </dxf>
    <dxf>
      <numFmt numFmtId="164" formatCode="0.00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font>
        <color theme="1"/>
      </font>
    </dxf>
    <dxf>
      <numFmt numFmtId="8" formatCode="#,##0.00_);[Red]\(#,##0.00\)"/>
    </dxf>
    <dxf>
      <numFmt numFmtId="4" formatCode="#,##0.00"/>
    </dxf>
    <dxf>
      <numFmt numFmtId="4" formatCode="#,##0.00"/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4506668294322"/>
        </horizontal>
      </border>
    </dxf>
  </dxfs>
  <tableStyles count="2" defaultTableStyle="TableStyleMedium2" defaultPivotStyle="PivotStyleLight16">
    <tableStyle name="TableStylePreset3_Dark" pivot="0" count="7" xr9:uid="{A23A6A0A-29F2-439B-92E2-2009244044D1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firstColumnStripe" dxfId="31"/>
    </tableStyle>
    <tableStyle name="TableStylePreset8_Accent1" pivot="0" count="9" xr9:uid="{C16462FB-CDE6-4BB5-BAFA-1372A3CEEFCD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secondRowStripe" dxfId="24"/>
      <tableStyleElement type="firstColumnStripe" dxfId="23"/>
      <tableStyleElement type="secondColumn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Nigeria Solid Mineral Production &amp; Export by Mineral (2023, excl. Coal</a:t>
            </a:r>
            <a:r>
              <a:rPr lang="en-US" baseline="0"/>
              <a:t> and </a:t>
            </a:r>
            <a:r>
              <a:rPr lang="en-US"/>
              <a:t>Limestone)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Raw_Data!$C$1</c:f>
              <c:strCache>
                <c:ptCount val="1"/>
                <c:pt idx="0">
                  <c:v>PROD. QTY
(Tonnes)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Raw_Data!$B$2:$B$19</c:f>
              <c:strCache>
                <c:ptCount val="18"/>
                <c:pt idx="0">
                  <c:v>Barite</c:v>
                </c:pt>
                <c:pt idx="1">
                  <c:v>Beryl</c:v>
                </c:pt>
                <c:pt idx="2">
                  <c:v>Coal</c:v>
                </c:pt>
                <c:pt idx="3">
                  <c:v>Columbite</c:v>
                </c:pt>
                <c:pt idx="4">
                  <c:v>Copper</c:v>
                </c:pt>
                <c:pt idx="5">
                  <c:v>Feldspar</c:v>
                </c:pt>
                <c:pt idx="6">
                  <c:v>Gold</c:v>
                </c:pt>
                <c:pt idx="7">
                  <c:v>Gypsum</c:v>
                </c:pt>
                <c:pt idx="8">
                  <c:v>Iron Ore</c:v>
                </c:pt>
                <c:pt idx="9">
                  <c:v>Kaolin</c:v>
                </c:pt>
                <c:pt idx="10">
                  <c:v>Lead/Zinc Ore</c:v>
                </c:pt>
                <c:pt idx="11">
                  <c:v>Limestone</c:v>
                </c:pt>
                <c:pt idx="12">
                  <c:v>Lithium</c:v>
                </c:pt>
                <c:pt idx="13">
                  <c:v>Manganese</c:v>
                </c:pt>
                <c:pt idx="14">
                  <c:v>Mica</c:v>
                </c:pt>
                <c:pt idx="15">
                  <c:v>Talc</c:v>
                </c:pt>
                <c:pt idx="16">
                  <c:v>Tantalite</c:v>
                </c:pt>
                <c:pt idx="17">
                  <c:v>Tin Ore</c:v>
                </c:pt>
              </c:strCache>
            </c:strRef>
          </c:cat>
          <c:val>
            <c:numRef>
              <c:f>Raw_Data!$C$2:$C$19</c:f>
              <c:numCache>
                <c:formatCode>#,##0.00</c:formatCode>
                <c:ptCount val="18"/>
                <c:pt idx="0">
                  <c:v>30</c:v>
                </c:pt>
                <c:pt idx="1">
                  <c:v>978</c:v>
                </c:pt>
                <c:pt idx="2">
                  <c:v>481691.9</c:v>
                </c:pt>
                <c:pt idx="3">
                  <c:v>1860.46</c:v>
                </c:pt>
                <c:pt idx="4">
                  <c:v>0</c:v>
                </c:pt>
                <c:pt idx="5">
                  <c:v>76575.16</c:v>
                </c:pt>
                <c:pt idx="6">
                  <c:v>2.7</c:v>
                </c:pt>
                <c:pt idx="7">
                  <c:v>45235.18</c:v>
                </c:pt>
                <c:pt idx="8">
                  <c:v>8896</c:v>
                </c:pt>
                <c:pt idx="9">
                  <c:v>3000</c:v>
                </c:pt>
                <c:pt idx="10">
                  <c:v>145803</c:v>
                </c:pt>
                <c:pt idx="11">
                  <c:v>49057064.079999998</c:v>
                </c:pt>
                <c:pt idx="12">
                  <c:v>78317.289999999994</c:v>
                </c:pt>
                <c:pt idx="13">
                  <c:v>3600</c:v>
                </c:pt>
                <c:pt idx="14">
                  <c:v>145</c:v>
                </c:pt>
                <c:pt idx="15">
                  <c:v>64400</c:v>
                </c:pt>
                <c:pt idx="16">
                  <c:v>5.39</c:v>
                </c:pt>
                <c:pt idx="17">
                  <c:v>4642.75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F-4126-8278-CCBC841E5E1C}"/>
            </c:ext>
          </c:extLst>
        </c:ser>
        <c:ser>
          <c:idx val="1"/>
          <c:order val="1"/>
          <c:tx>
            <c:strRef>
              <c:f>Raw_Data!$D$1</c:f>
              <c:strCache>
                <c:ptCount val="1"/>
                <c:pt idx="0">
                  <c:v>EXPORT VOL.
(Tonnes)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Raw_Data!$B$2:$B$19</c:f>
              <c:strCache>
                <c:ptCount val="18"/>
                <c:pt idx="0">
                  <c:v>Barite</c:v>
                </c:pt>
                <c:pt idx="1">
                  <c:v>Beryl</c:v>
                </c:pt>
                <c:pt idx="2">
                  <c:v>Coal</c:v>
                </c:pt>
                <c:pt idx="3">
                  <c:v>Columbite</c:v>
                </c:pt>
                <c:pt idx="4">
                  <c:v>Copper</c:v>
                </c:pt>
                <c:pt idx="5">
                  <c:v>Feldspar</c:v>
                </c:pt>
                <c:pt idx="6">
                  <c:v>Gold</c:v>
                </c:pt>
                <c:pt idx="7">
                  <c:v>Gypsum</c:v>
                </c:pt>
                <c:pt idx="8">
                  <c:v>Iron Ore</c:v>
                </c:pt>
                <c:pt idx="9">
                  <c:v>Kaolin</c:v>
                </c:pt>
                <c:pt idx="10">
                  <c:v>Lead/Zinc Ore</c:v>
                </c:pt>
                <c:pt idx="11">
                  <c:v>Limestone</c:v>
                </c:pt>
                <c:pt idx="12">
                  <c:v>Lithium</c:v>
                </c:pt>
                <c:pt idx="13">
                  <c:v>Manganese</c:v>
                </c:pt>
                <c:pt idx="14">
                  <c:v>Mica</c:v>
                </c:pt>
                <c:pt idx="15">
                  <c:v>Talc</c:v>
                </c:pt>
                <c:pt idx="16">
                  <c:v>Tantalite</c:v>
                </c:pt>
                <c:pt idx="17">
                  <c:v>Tin Ore</c:v>
                </c:pt>
              </c:strCache>
            </c:strRef>
          </c:cat>
          <c:val>
            <c:numRef>
              <c:f>Raw_Data!$D$2:$D$19</c:f>
              <c:numCache>
                <c:formatCode>#,##0.00</c:formatCode>
                <c:ptCount val="18"/>
                <c:pt idx="0">
                  <c:v>0</c:v>
                </c:pt>
                <c:pt idx="1">
                  <c:v>189</c:v>
                </c:pt>
                <c:pt idx="2">
                  <c:v>154260</c:v>
                </c:pt>
                <c:pt idx="3">
                  <c:v>1128</c:v>
                </c:pt>
                <c:pt idx="4">
                  <c:v>25</c:v>
                </c:pt>
                <c:pt idx="5">
                  <c:v>0</c:v>
                </c:pt>
                <c:pt idx="6">
                  <c:v>1.68</c:v>
                </c:pt>
                <c:pt idx="7">
                  <c:v>1000</c:v>
                </c:pt>
                <c:pt idx="8">
                  <c:v>3500</c:v>
                </c:pt>
                <c:pt idx="9">
                  <c:v>0</c:v>
                </c:pt>
                <c:pt idx="10">
                  <c:v>58920</c:v>
                </c:pt>
                <c:pt idx="11">
                  <c:v>20000</c:v>
                </c:pt>
                <c:pt idx="12">
                  <c:v>35887</c:v>
                </c:pt>
                <c:pt idx="13">
                  <c:v>36000</c:v>
                </c:pt>
                <c:pt idx="14">
                  <c:v>5218</c:v>
                </c:pt>
                <c:pt idx="15">
                  <c:v>306</c:v>
                </c:pt>
                <c:pt idx="16">
                  <c:v>65</c:v>
                </c:pt>
                <c:pt idx="17">
                  <c:v>3921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3F-4126-8278-CCBC841E5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343064"/>
        <c:axId val="548341264"/>
      </c:barChart>
      <c:catAx>
        <c:axId val="548343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Mineral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41264"/>
        <c:crosses val="autoZero"/>
        <c:auto val="1"/>
        <c:lblAlgn val="ctr"/>
        <c:lblOffset val="100"/>
        <c:noMultiLvlLbl val="0"/>
      </c:catAx>
      <c:valAx>
        <c:axId val="54834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Metric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4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Nigeria Solid Mineral Production &amp; Export by Mineral (2022, excl. Coal</a:t>
            </a:r>
            <a:r>
              <a:rPr lang="en-US" baseline="0"/>
              <a:t> and </a:t>
            </a:r>
            <a:r>
              <a:rPr lang="en-US"/>
              <a:t>Limestone)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Raw_Data!$C$1</c:f>
              <c:strCache>
                <c:ptCount val="1"/>
                <c:pt idx="0">
                  <c:v>PROD. QTY
(Tonnes)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Raw_Data!$B$20:$B$37</c:f>
              <c:strCache>
                <c:ptCount val="18"/>
                <c:pt idx="0">
                  <c:v>Barite</c:v>
                </c:pt>
                <c:pt idx="1">
                  <c:v>Beryl</c:v>
                </c:pt>
                <c:pt idx="2">
                  <c:v>Coal</c:v>
                </c:pt>
                <c:pt idx="3">
                  <c:v>Columbite</c:v>
                </c:pt>
                <c:pt idx="4">
                  <c:v>Copper</c:v>
                </c:pt>
                <c:pt idx="5">
                  <c:v>Feldspar</c:v>
                </c:pt>
                <c:pt idx="6">
                  <c:v>Gold</c:v>
                </c:pt>
                <c:pt idx="7">
                  <c:v>Gypsum</c:v>
                </c:pt>
                <c:pt idx="8">
                  <c:v>Iron Ore</c:v>
                </c:pt>
                <c:pt idx="9">
                  <c:v>Kaolin</c:v>
                </c:pt>
                <c:pt idx="10">
                  <c:v>Lead/Zinc Ore</c:v>
                </c:pt>
                <c:pt idx="11">
                  <c:v>Limestone</c:v>
                </c:pt>
                <c:pt idx="12">
                  <c:v>Lithium</c:v>
                </c:pt>
                <c:pt idx="13">
                  <c:v>Manganese</c:v>
                </c:pt>
                <c:pt idx="14">
                  <c:v>Mica</c:v>
                </c:pt>
                <c:pt idx="15">
                  <c:v>Talc</c:v>
                </c:pt>
                <c:pt idx="16">
                  <c:v>Tantalite</c:v>
                </c:pt>
                <c:pt idx="17">
                  <c:v>Tin Ore</c:v>
                </c:pt>
              </c:strCache>
            </c:strRef>
          </c:cat>
          <c:val>
            <c:numRef>
              <c:f>Raw_Data!$C$20:$C$37</c:f>
              <c:numCache>
                <c:formatCode>#,##0.00</c:formatCode>
                <c:ptCount val="18"/>
                <c:pt idx="0">
                  <c:v>1170</c:v>
                </c:pt>
                <c:pt idx="1">
                  <c:v>349</c:v>
                </c:pt>
                <c:pt idx="2">
                  <c:v>1505197</c:v>
                </c:pt>
                <c:pt idx="3">
                  <c:v>5899</c:v>
                </c:pt>
                <c:pt idx="4">
                  <c:v>82</c:v>
                </c:pt>
                <c:pt idx="5">
                  <c:v>37250</c:v>
                </c:pt>
                <c:pt idx="6">
                  <c:v>2.9</c:v>
                </c:pt>
                <c:pt idx="7">
                  <c:v>183628</c:v>
                </c:pt>
                <c:pt idx="8">
                  <c:v>283</c:v>
                </c:pt>
                <c:pt idx="9">
                  <c:v>70396</c:v>
                </c:pt>
                <c:pt idx="10">
                  <c:v>89130</c:v>
                </c:pt>
                <c:pt idx="11">
                  <c:v>37260778</c:v>
                </c:pt>
                <c:pt idx="12">
                  <c:v>51524</c:v>
                </c:pt>
                <c:pt idx="13">
                  <c:v>56014</c:v>
                </c:pt>
                <c:pt idx="14">
                  <c:v>15</c:v>
                </c:pt>
                <c:pt idx="15">
                  <c:v>65000</c:v>
                </c:pt>
                <c:pt idx="16">
                  <c:v>4</c:v>
                </c:pt>
                <c:pt idx="17">
                  <c:v>1705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9-4A48-8EF5-52133D83C235}"/>
            </c:ext>
          </c:extLst>
        </c:ser>
        <c:ser>
          <c:idx val="1"/>
          <c:order val="1"/>
          <c:tx>
            <c:strRef>
              <c:f>Raw_Data!$D$1</c:f>
              <c:strCache>
                <c:ptCount val="1"/>
                <c:pt idx="0">
                  <c:v>EXPORT VOL.
(Tonnes)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Raw_Data!$B$20:$B$37</c:f>
              <c:strCache>
                <c:ptCount val="18"/>
                <c:pt idx="0">
                  <c:v>Barite</c:v>
                </c:pt>
                <c:pt idx="1">
                  <c:v>Beryl</c:v>
                </c:pt>
                <c:pt idx="2">
                  <c:v>Coal</c:v>
                </c:pt>
                <c:pt idx="3">
                  <c:v>Columbite</c:v>
                </c:pt>
                <c:pt idx="4">
                  <c:v>Copper</c:v>
                </c:pt>
                <c:pt idx="5">
                  <c:v>Feldspar</c:v>
                </c:pt>
                <c:pt idx="6">
                  <c:v>Gold</c:v>
                </c:pt>
                <c:pt idx="7">
                  <c:v>Gypsum</c:v>
                </c:pt>
                <c:pt idx="8">
                  <c:v>Iron Ore</c:v>
                </c:pt>
                <c:pt idx="9">
                  <c:v>Kaolin</c:v>
                </c:pt>
                <c:pt idx="10">
                  <c:v>Lead/Zinc Ore</c:v>
                </c:pt>
                <c:pt idx="11">
                  <c:v>Limestone</c:v>
                </c:pt>
                <c:pt idx="12">
                  <c:v>Lithium</c:v>
                </c:pt>
                <c:pt idx="13">
                  <c:v>Manganese</c:v>
                </c:pt>
                <c:pt idx="14">
                  <c:v>Mica</c:v>
                </c:pt>
                <c:pt idx="15">
                  <c:v>Talc</c:v>
                </c:pt>
                <c:pt idx="16">
                  <c:v>Tantalite</c:v>
                </c:pt>
                <c:pt idx="17">
                  <c:v>Tin Ore</c:v>
                </c:pt>
              </c:strCache>
            </c:strRef>
          </c:cat>
          <c:val>
            <c:numRef>
              <c:f>Raw_Data!$D$20:$D$37</c:f>
              <c:numCache>
                <c:formatCode>#,##0.00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122000</c:v>
                </c:pt>
                <c:pt idx="3">
                  <c:v>43382.33</c:v>
                </c:pt>
                <c:pt idx="4">
                  <c:v>71.5</c:v>
                </c:pt>
                <c:pt idx="5">
                  <c:v>3658</c:v>
                </c:pt>
                <c:pt idx="6">
                  <c:v>2.64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72725</c:v>
                </c:pt>
                <c:pt idx="11">
                  <c:v>0</c:v>
                </c:pt>
                <c:pt idx="12">
                  <c:v>25916.400000000001</c:v>
                </c:pt>
                <c:pt idx="13">
                  <c:v>15000</c:v>
                </c:pt>
                <c:pt idx="14">
                  <c:v>1288</c:v>
                </c:pt>
                <c:pt idx="15">
                  <c:v>50</c:v>
                </c:pt>
                <c:pt idx="16">
                  <c:v>39</c:v>
                </c:pt>
                <c:pt idx="17">
                  <c:v>9405.58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59-4A48-8EF5-52133D83C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343064"/>
        <c:axId val="548341264"/>
      </c:barChart>
      <c:catAx>
        <c:axId val="548343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Mineral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41264"/>
        <c:crosses val="autoZero"/>
        <c:auto val="1"/>
        <c:lblAlgn val="ctr"/>
        <c:lblOffset val="100"/>
        <c:noMultiLvlLbl val="0"/>
      </c:catAx>
      <c:valAx>
        <c:axId val="54834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Metric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4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</a:t>
            </a:r>
            <a:r>
              <a:rPr lang="en-US" baseline="0"/>
              <a:t> Solid Mineral Demand (2023, excl. Coal and Iron 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Raw_Data!$E$1</c:f>
              <c:strCache>
                <c:ptCount val="1"/>
                <c:pt idx="0">
                  <c:v>GLOBAL DEMAND 
base on World Prod.
(Tonnes)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Raw_Data!$B$2:$B$19</c:f>
              <c:strCache>
                <c:ptCount val="18"/>
                <c:pt idx="0">
                  <c:v>Barite</c:v>
                </c:pt>
                <c:pt idx="1">
                  <c:v>Beryl</c:v>
                </c:pt>
                <c:pt idx="2">
                  <c:v>Coal</c:v>
                </c:pt>
                <c:pt idx="3">
                  <c:v>Columbite</c:v>
                </c:pt>
                <c:pt idx="4">
                  <c:v>Copper</c:v>
                </c:pt>
                <c:pt idx="5">
                  <c:v>Feldspar</c:v>
                </c:pt>
                <c:pt idx="6">
                  <c:v>Gold</c:v>
                </c:pt>
                <c:pt idx="7">
                  <c:v>Gypsum</c:v>
                </c:pt>
                <c:pt idx="8">
                  <c:v>Iron Ore</c:v>
                </c:pt>
                <c:pt idx="9">
                  <c:v>Kaolin</c:v>
                </c:pt>
                <c:pt idx="10">
                  <c:v>Lead/Zinc Ore</c:v>
                </c:pt>
                <c:pt idx="11">
                  <c:v>Limestone</c:v>
                </c:pt>
                <c:pt idx="12">
                  <c:v>Lithium</c:v>
                </c:pt>
                <c:pt idx="13">
                  <c:v>Manganese</c:v>
                </c:pt>
                <c:pt idx="14">
                  <c:v>Mica</c:v>
                </c:pt>
                <c:pt idx="15">
                  <c:v>Talc</c:v>
                </c:pt>
                <c:pt idx="16">
                  <c:v>Tantalite</c:v>
                </c:pt>
                <c:pt idx="17">
                  <c:v>Tin Ore</c:v>
                </c:pt>
              </c:strCache>
            </c:strRef>
          </c:cat>
          <c:val>
            <c:numRef>
              <c:f>Raw_Data!$E$2:$E$19</c:f>
              <c:numCache>
                <c:formatCode>#,##0.00_);[Red]\(#,##0.00\)</c:formatCode>
                <c:ptCount val="18"/>
                <c:pt idx="0">
                  <c:v>7900000</c:v>
                </c:pt>
                <c:pt idx="1">
                  <c:v>8234</c:v>
                </c:pt>
                <c:pt idx="2">
                  <c:v>9096000000</c:v>
                </c:pt>
                <c:pt idx="3">
                  <c:v>0</c:v>
                </c:pt>
                <c:pt idx="4">
                  <c:v>23000000</c:v>
                </c:pt>
                <c:pt idx="5">
                  <c:v>32300000</c:v>
                </c:pt>
                <c:pt idx="6">
                  <c:v>3300</c:v>
                </c:pt>
                <c:pt idx="7">
                  <c:v>169700000</c:v>
                </c:pt>
                <c:pt idx="8">
                  <c:v>2507000000</c:v>
                </c:pt>
                <c:pt idx="9">
                  <c:v>28600000</c:v>
                </c:pt>
                <c:pt idx="10">
                  <c:v>16100000</c:v>
                </c:pt>
                <c:pt idx="11">
                  <c:v>0</c:v>
                </c:pt>
                <c:pt idx="12">
                  <c:v>209800</c:v>
                </c:pt>
                <c:pt idx="13">
                  <c:v>53000000</c:v>
                </c:pt>
                <c:pt idx="14">
                  <c:v>302000</c:v>
                </c:pt>
                <c:pt idx="15">
                  <c:v>7600000</c:v>
                </c:pt>
                <c:pt idx="16">
                  <c:v>1600</c:v>
                </c:pt>
                <c:pt idx="17">
                  <c:v>29100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F-4251-A14F-D9D2AD956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374984"/>
        <c:axId val="786371744"/>
      </c:barChart>
      <c:catAx>
        <c:axId val="78637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71744"/>
        <c:crosses val="autoZero"/>
        <c:auto val="1"/>
        <c:lblAlgn val="ctr"/>
        <c:lblOffset val="100"/>
        <c:noMultiLvlLbl val="0"/>
      </c:catAx>
      <c:valAx>
        <c:axId val="78637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Metric</a:t>
                </a:r>
                <a:r>
                  <a:rPr lang="en-US" baseline="0"/>
                  <a:t>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74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</a:t>
            </a:r>
            <a:r>
              <a:rPr lang="en-US" baseline="0"/>
              <a:t> Solid Mineral Demand (2022, excl. Coal and Iron 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Raw_Data!$E$1</c:f>
              <c:strCache>
                <c:ptCount val="1"/>
                <c:pt idx="0">
                  <c:v>GLOBAL DEMAND 
base on World Prod.
(Tonnes)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Raw_Data!$B$20:$B$37</c:f>
              <c:strCache>
                <c:ptCount val="18"/>
                <c:pt idx="0">
                  <c:v>Barite</c:v>
                </c:pt>
                <c:pt idx="1">
                  <c:v>Beryl</c:v>
                </c:pt>
                <c:pt idx="2">
                  <c:v>Coal</c:v>
                </c:pt>
                <c:pt idx="3">
                  <c:v>Columbite</c:v>
                </c:pt>
                <c:pt idx="4">
                  <c:v>Copper</c:v>
                </c:pt>
                <c:pt idx="5">
                  <c:v>Feldspar</c:v>
                </c:pt>
                <c:pt idx="6">
                  <c:v>Gold</c:v>
                </c:pt>
                <c:pt idx="7">
                  <c:v>Gypsum</c:v>
                </c:pt>
                <c:pt idx="8">
                  <c:v>Iron Ore</c:v>
                </c:pt>
                <c:pt idx="9">
                  <c:v>Kaolin</c:v>
                </c:pt>
                <c:pt idx="10">
                  <c:v>Lead/Zinc Ore</c:v>
                </c:pt>
                <c:pt idx="11">
                  <c:v>Limestone</c:v>
                </c:pt>
                <c:pt idx="12">
                  <c:v>Lithium</c:v>
                </c:pt>
                <c:pt idx="13">
                  <c:v>Manganese</c:v>
                </c:pt>
                <c:pt idx="14">
                  <c:v>Mica</c:v>
                </c:pt>
                <c:pt idx="15">
                  <c:v>Talc</c:v>
                </c:pt>
                <c:pt idx="16">
                  <c:v>Tantalite</c:v>
                </c:pt>
                <c:pt idx="17">
                  <c:v>Tin Ore</c:v>
                </c:pt>
              </c:strCache>
            </c:strRef>
          </c:cat>
          <c:val>
            <c:numRef>
              <c:f>Raw_Data!$E$20:$E$37</c:f>
              <c:numCache>
                <c:formatCode>#,##0.00_);[Red]\(#,##0.00\)</c:formatCode>
                <c:ptCount val="18"/>
                <c:pt idx="0">
                  <c:v>7900000</c:v>
                </c:pt>
                <c:pt idx="1">
                  <c:v>7721</c:v>
                </c:pt>
                <c:pt idx="2">
                  <c:v>8815000000</c:v>
                </c:pt>
                <c:pt idx="3">
                  <c:v>0</c:v>
                </c:pt>
                <c:pt idx="4">
                  <c:v>22200000</c:v>
                </c:pt>
                <c:pt idx="5">
                  <c:v>38100000</c:v>
                </c:pt>
                <c:pt idx="6">
                  <c:v>3300</c:v>
                </c:pt>
                <c:pt idx="7">
                  <c:v>168500000</c:v>
                </c:pt>
                <c:pt idx="8">
                  <c:v>2436000000</c:v>
                </c:pt>
                <c:pt idx="9">
                  <c:v>31400000</c:v>
                </c:pt>
                <c:pt idx="10">
                  <c:v>17400000</c:v>
                </c:pt>
                <c:pt idx="11">
                  <c:v>0</c:v>
                </c:pt>
                <c:pt idx="12">
                  <c:v>161700</c:v>
                </c:pt>
                <c:pt idx="13">
                  <c:v>54600000</c:v>
                </c:pt>
                <c:pt idx="14">
                  <c:v>274000</c:v>
                </c:pt>
                <c:pt idx="15">
                  <c:v>6900000</c:v>
                </c:pt>
                <c:pt idx="16">
                  <c:v>1400</c:v>
                </c:pt>
                <c:pt idx="17">
                  <c:v>28700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3-444C-B74F-48B37F3F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374984"/>
        <c:axId val="786371744"/>
      </c:barChart>
      <c:catAx>
        <c:axId val="78637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71744"/>
        <c:crosses val="autoZero"/>
        <c:auto val="1"/>
        <c:lblAlgn val="ctr"/>
        <c:lblOffset val="100"/>
        <c:noMultiLvlLbl val="0"/>
      </c:catAx>
      <c:valAx>
        <c:axId val="78637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Metric</a:t>
                </a:r>
                <a:r>
                  <a:rPr lang="en-US" baseline="0"/>
                  <a:t>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74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Year-on-Year</a:t>
            </a:r>
            <a:r>
              <a:rPr lang="en-US" sz="16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Production Change by Minerals (2022-2023)</a:t>
            </a:r>
            <a:endParaRPr lang="en-US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KPIs_Copy!$B$1</c:f>
              <c:strCache>
                <c:ptCount val="1"/>
                <c:pt idx="0">
                  <c:v>YoY_Prod_%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CF9-4FC6-9150-3E8AF85186C1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CF9-4FC6-9150-3E8AF85186C1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CF9-4FC6-9150-3E8AF85186C1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CF9-4FC6-9150-3E8AF85186C1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F9-4FC6-9150-3E8AF85186C1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CF9-4FC6-9150-3E8AF85186C1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F9-4FC6-9150-3E8AF85186C1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F9-4FC6-9150-3E8AF85186C1}"/>
              </c:ext>
            </c:extLst>
          </c:dPt>
          <c:dPt>
            <c:idx val="1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F9-4FC6-9150-3E8AF85186C1}"/>
              </c:ext>
            </c:extLst>
          </c:dPt>
          <c:cat>
            <c:strRef>
              <c:f>KPIs_Copy!$A$2:$A$19</c:f>
              <c:strCache>
                <c:ptCount val="16"/>
                <c:pt idx="0">
                  <c:v>Copper</c:v>
                </c:pt>
                <c:pt idx="1">
                  <c:v>Barite</c:v>
                </c:pt>
                <c:pt idx="2">
                  <c:v>Kaolin</c:v>
                </c:pt>
                <c:pt idx="3">
                  <c:v>Manganese</c:v>
                </c:pt>
                <c:pt idx="4">
                  <c:v>Gypsum</c:v>
                </c:pt>
                <c:pt idx="5">
                  <c:v>Columbite</c:v>
                </c:pt>
                <c:pt idx="6">
                  <c:v>Coal</c:v>
                </c:pt>
                <c:pt idx="7">
                  <c:v>Gold</c:v>
                </c:pt>
                <c:pt idx="8">
                  <c:v>Talc</c:v>
                </c:pt>
                <c:pt idx="9">
                  <c:v>Limestone</c:v>
                </c:pt>
                <c:pt idx="10">
                  <c:v>Tantalite</c:v>
                </c:pt>
                <c:pt idx="11">
                  <c:v>Lithium</c:v>
                </c:pt>
                <c:pt idx="12">
                  <c:v>Lead/Zinc Ore</c:v>
                </c:pt>
                <c:pt idx="13">
                  <c:v>Feldspar</c:v>
                </c:pt>
                <c:pt idx="14">
                  <c:v>Tin Ore</c:v>
                </c:pt>
                <c:pt idx="15">
                  <c:v>Beryl</c:v>
                </c:pt>
              </c:strCache>
            </c:strRef>
          </c:cat>
          <c:val>
            <c:numRef>
              <c:f>KPIs_Copy!$B$2:$B$19</c:f>
              <c:numCache>
                <c:formatCode>0.00%</c:formatCode>
                <c:ptCount val="16"/>
                <c:pt idx="0">
                  <c:v>-1</c:v>
                </c:pt>
                <c:pt idx="1">
                  <c:v>-0.97435897435897434</c:v>
                </c:pt>
                <c:pt idx="2">
                  <c:v>-0.95738394226944712</c:v>
                </c:pt>
                <c:pt idx="3">
                  <c:v>-0.93573035312600417</c:v>
                </c:pt>
                <c:pt idx="4">
                  <c:v>-0.75365859237153376</c:v>
                </c:pt>
                <c:pt idx="5">
                  <c:v>-0.68461434141379895</c:v>
                </c:pt>
                <c:pt idx="6">
                  <c:v>-0.67998082643002877</c:v>
                </c:pt>
                <c:pt idx="7">
                  <c:v>-6.8965517241379226E-2</c:v>
                </c:pt>
                <c:pt idx="8">
                  <c:v>-9.2307692307692316E-3</c:v>
                </c:pt>
                <c:pt idx="9">
                  <c:v>0.31658721887127528</c:v>
                </c:pt>
                <c:pt idx="10">
                  <c:v>0.34749999999999992</c:v>
                </c:pt>
                <c:pt idx="11">
                  <c:v>0.52001572082912806</c:v>
                </c:pt>
                <c:pt idx="12">
                  <c:v>0.63584651632446987</c:v>
                </c:pt>
                <c:pt idx="13">
                  <c:v>1.0557089932885908</c:v>
                </c:pt>
                <c:pt idx="14">
                  <c:v>1.7230205278592374</c:v>
                </c:pt>
                <c:pt idx="15">
                  <c:v>1.8022922636103151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9-4FC6-9150-3E8AF8518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5712032"/>
        <c:axId val="795712392"/>
      </c:barChart>
      <c:catAx>
        <c:axId val="795712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5712392"/>
        <c:crosses val="autoZero"/>
        <c:auto val="1"/>
        <c:lblAlgn val="ctr"/>
        <c:lblOffset val="100"/>
        <c:noMultiLvlLbl val="0"/>
      </c:catAx>
      <c:valAx>
        <c:axId val="79571239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Arial" panose="020B0604020202020204" pitchFamily="34" charset="0"/>
                    <a:cs typeface="Arial" panose="020B0604020202020204" pitchFamily="34" charset="0"/>
                  </a:rPr>
                  <a:t>YoY %Change</a:t>
                </a:r>
              </a:p>
            </c:rich>
          </c:tx>
          <c:layout>
            <c:manualLayout>
              <c:xMode val="edge"/>
              <c:yMode val="edge"/>
              <c:x val="0.42020748732923113"/>
              <c:y val="0.109926744806441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85000"/>
                <a:lumOff val="1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5712032"/>
        <c:crosses val="max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Year-on-Year Export Change by Mineral (2022–2023)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KPIs_Copy!$B$1</c:f>
              <c:strCache>
                <c:ptCount val="1"/>
                <c:pt idx="0">
                  <c:v>YoY_Prod_%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849-4818-90C5-84563B9864F3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3849-4818-90C5-84563B9864F3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849-4818-90C5-84563B9864F3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49-4818-90C5-84563B9864F3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49-4818-90C5-84563B9864F3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849-4818-90C5-84563B9864F3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849-4818-90C5-84563B9864F3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849-4818-90C5-84563B9864F3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849-4818-90C5-84563B9864F3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849-4818-90C5-84563B9864F3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849-4818-90C5-84563B9864F3}"/>
              </c:ext>
            </c:extLst>
          </c:dPt>
          <c:dPt>
            <c:idx val="1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849-4818-90C5-84563B9864F3}"/>
              </c:ext>
            </c:extLst>
          </c:dPt>
          <c:cat>
            <c:strRef>
              <c:f>KPIs_Copy!$A$23:$A$40</c:f>
              <c:strCache>
                <c:ptCount val="12"/>
                <c:pt idx="0">
                  <c:v>Feldspar</c:v>
                </c:pt>
                <c:pt idx="1">
                  <c:v>Columbite</c:v>
                </c:pt>
                <c:pt idx="2">
                  <c:v>Copper</c:v>
                </c:pt>
                <c:pt idx="3">
                  <c:v>Tin Ore</c:v>
                </c:pt>
                <c:pt idx="4">
                  <c:v>Gold</c:v>
                </c:pt>
                <c:pt idx="5">
                  <c:v>Lead/Zinc Ore</c:v>
                </c:pt>
                <c:pt idx="6">
                  <c:v>Coal</c:v>
                </c:pt>
                <c:pt idx="7">
                  <c:v>Lithium</c:v>
                </c:pt>
                <c:pt idx="8">
                  <c:v>Tantalite</c:v>
                </c:pt>
                <c:pt idx="9">
                  <c:v>Manganese</c:v>
                </c:pt>
                <c:pt idx="10">
                  <c:v>Mica</c:v>
                </c:pt>
                <c:pt idx="11">
                  <c:v>Talc</c:v>
                </c:pt>
              </c:strCache>
            </c:strRef>
          </c:cat>
          <c:val>
            <c:numRef>
              <c:f>KPIs_Copy!$B$23:$B$40</c:f>
              <c:numCache>
                <c:formatCode>0.00%</c:formatCode>
                <c:ptCount val="12"/>
                <c:pt idx="0">
                  <c:v>-1</c:v>
                </c:pt>
                <c:pt idx="1">
                  <c:v>-0.97399863031791978</c:v>
                </c:pt>
                <c:pt idx="2">
                  <c:v>-0.65034965034965031</c:v>
                </c:pt>
                <c:pt idx="3">
                  <c:v>-0.58311980760357152</c:v>
                </c:pt>
                <c:pt idx="4">
                  <c:v>-0.3636363636363637</c:v>
                </c:pt>
                <c:pt idx="5">
                  <c:v>-0.18982468202131317</c:v>
                </c:pt>
                <c:pt idx="6">
                  <c:v>0.26442622950819672</c:v>
                </c:pt>
                <c:pt idx="7">
                  <c:v>0.38472164343813176</c:v>
                </c:pt>
                <c:pt idx="8">
                  <c:v>0.66666666666666663</c:v>
                </c:pt>
                <c:pt idx="9">
                  <c:v>1.4</c:v>
                </c:pt>
                <c:pt idx="10">
                  <c:v>3.0512422360248448</c:v>
                </c:pt>
                <c:pt idx="11">
                  <c:v>5.12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849-4818-90C5-84563B986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5712032"/>
        <c:axId val="795712392"/>
      </c:barChart>
      <c:catAx>
        <c:axId val="795712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5712392"/>
        <c:crosses val="autoZero"/>
        <c:auto val="1"/>
        <c:lblAlgn val="ctr"/>
        <c:lblOffset val="100"/>
        <c:noMultiLvlLbl val="0"/>
      </c:catAx>
      <c:valAx>
        <c:axId val="79571239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Arial" panose="020B0604020202020204" pitchFamily="34" charset="0"/>
                    <a:cs typeface="Arial" panose="020B0604020202020204" pitchFamily="34" charset="0"/>
                  </a:rPr>
                  <a:t>YoY % Change</a:t>
                </a:r>
              </a:p>
            </c:rich>
          </c:tx>
          <c:layout>
            <c:manualLayout>
              <c:xMode val="edge"/>
              <c:yMode val="edge"/>
              <c:x val="0.42020748732923113"/>
              <c:y val="0.109926744806441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85000"/>
                <a:lumOff val="1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5712032"/>
        <c:crosses val="max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Year-on-Year</a:t>
            </a:r>
            <a:r>
              <a:rPr lang="en-US" sz="16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Global Demand Change by Mineral (2022-2023)</a:t>
            </a:r>
            <a:endParaRPr lang="en-US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KPIs_Copy!$B$1</c:f>
              <c:strCache>
                <c:ptCount val="1"/>
                <c:pt idx="0">
                  <c:v>YoY_Prod_%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3BD-49BF-B70F-D77D431ACB81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F3BD-49BF-B70F-D77D431ACB81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3BD-49BF-B70F-D77D431ACB81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BD-49BF-B70F-D77D431ACB81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BD-49BF-B70F-D77D431ACB81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3BD-49BF-B70F-D77D431ACB81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3BD-49BF-B70F-D77D431ACB81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3BD-49BF-B70F-D77D431ACB81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3BD-49BF-B70F-D77D431ACB81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3BD-49BF-B70F-D77D431ACB81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3BD-49BF-B70F-D77D431ACB81}"/>
              </c:ext>
            </c:extLst>
          </c:dPt>
          <c:dPt>
            <c:idx val="1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3BD-49BF-B70F-D77D431ACB81}"/>
              </c:ext>
            </c:extLst>
          </c:dPt>
          <c:cat>
            <c:strRef>
              <c:f>KPIs_Copy!$A$44:$A$61</c:f>
              <c:strCache>
                <c:ptCount val="16"/>
                <c:pt idx="0">
                  <c:v>Feldspar</c:v>
                </c:pt>
                <c:pt idx="1">
                  <c:v>Kaolin</c:v>
                </c:pt>
                <c:pt idx="2">
                  <c:v>Lead/Zinc Ore</c:v>
                </c:pt>
                <c:pt idx="3">
                  <c:v>Manganese</c:v>
                </c:pt>
                <c:pt idx="4">
                  <c:v>Barite</c:v>
                </c:pt>
                <c:pt idx="5">
                  <c:v>Gold</c:v>
                </c:pt>
                <c:pt idx="6">
                  <c:v>Gypsum</c:v>
                </c:pt>
                <c:pt idx="7">
                  <c:v>Tin Ore</c:v>
                </c:pt>
                <c:pt idx="8">
                  <c:v>Iron Ore</c:v>
                </c:pt>
                <c:pt idx="9">
                  <c:v>Coal</c:v>
                </c:pt>
                <c:pt idx="10">
                  <c:v>Copper</c:v>
                </c:pt>
                <c:pt idx="11">
                  <c:v>Beryl</c:v>
                </c:pt>
                <c:pt idx="12">
                  <c:v>Talc</c:v>
                </c:pt>
                <c:pt idx="13">
                  <c:v>Mica</c:v>
                </c:pt>
                <c:pt idx="14">
                  <c:v>Tantalite</c:v>
                </c:pt>
                <c:pt idx="15">
                  <c:v>Lithium</c:v>
                </c:pt>
              </c:strCache>
            </c:strRef>
          </c:cat>
          <c:val>
            <c:numRef>
              <c:f>KPIs_Copy!$B$44:$B$61</c:f>
              <c:numCache>
                <c:formatCode>0.00%</c:formatCode>
                <c:ptCount val="16"/>
                <c:pt idx="0">
                  <c:v>-0.15223097112860892</c:v>
                </c:pt>
                <c:pt idx="1">
                  <c:v>-8.9171974522292988E-2</c:v>
                </c:pt>
                <c:pt idx="2">
                  <c:v>-7.4712643678160925E-2</c:v>
                </c:pt>
                <c:pt idx="3">
                  <c:v>-2.9304029304029304E-2</c:v>
                </c:pt>
                <c:pt idx="4">
                  <c:v>0</c:v>
                </c:pt>
                <c:pt idx="5">
                  <c:v>0</c:v>
                </c:pt>
                <c:pt idx="6">
                  <c:v>7.121661721068249E-3</c:v>
                </c:pt>
                <c:pt idx="7">
                  <c:v>1.3937282229965157E-2</c:v>
                </c:pt>
                <c:pt idx="8">
                  <c:v>2.9146141215106731E-2</c:v>
                </c:pt>
                <c:pt idx="9">
                  <c:v>3.187748156551333E-2</c:v>
                </c:pt>
                <c:pt idx="10">
                  <c:v>3.6036036036036036E-2</c:v>
                </c:pt>
                <c:pt idx="11">
                  <c:v>6.6442170703276779E-2</c:v>
                </c:pt>
                <c:pt idx="12">
                  <c:v>0.10144927536231885</c:v>
                </c:pt>
                <c:pt idx="13">
                  <c:v>0.10218978102189781</c:v>
                </c:pt>
                <c:pt idx="14">
                  <c:v>0.14285714285714285</c:v>
                </c:pt>
                <c:pt idx="15">
                  <c:v>0.2974644403215832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3BD-49BF-B70F-D77D431AC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5712032"/>
        <c:axId val="795712392"/>
      </c:barChart>
      <c:catAx>
        <c:axId val="795712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5712392"/>
        <c:crosses val="autoZero"/>
        <c:auto val="1"/>
        <c:lblAlgn val="ctr"/>
        <c:lblOffset val="100"/>
        <c:noMultiLvlLbl val="0"/>
      </c:catAx>
      <c:valAx>
        <c:axId val="79571239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Arial" panose="020B0604020202020204" pitchFamily="34" charset="0"/>
                    <a:cs typeface="Arial" panose="020B0604020202020204" pitchFamily="34" charset="0"/>
                  </a:rPr>
                  <a:t>YoY % Change</a:t>
                </a:r>
              </a:p>
            </c:rich>
          </c:tx>
          <c:layout>
            <c:manualLayout>
              <c:xMode val="edge"/>
              <c:yMode val="edge"/>
              <c:x val="0.42020748732923113"/>
              <c:y val="0.109926744806441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85000"/>
                <a:lumOff val="1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5712032"/>
        <c:crosses val="max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Distribution of Minerals by Intensity Category (2022-2023)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KPIs_Copy!$H$64</c:f>
              <c:strCache>
                <c:ptCount val="1"/>
                <c:pt idx="0">
                  <c:v>Category_Distribution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01-474C-8146-2830F7CFF6C3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801-474C-8146-2830F7CFF6C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01-474C-8146-2830F7CFF6C3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801-474C-8146-2830F7CFF6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KPIs_Copy!$F$65:$F$70</c:f>
              <c:strCache>
                <c:ptCount val="5"/>
                <c:pt idx="0">
                  <c:v>No Export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Above Unity</c:v>
                </c:pt>
              </c:strCache>
            </c:strRef>
          </c:cat>
          <c:val>
            <c:numRef>
              <c:f>KPIs_Copy!$H$65:$H$70</c:f>
              <c:numCache>
                <c:formatCode>General</c:formatCode>
                <c:ptCount val="5"/>
                <c:pt idx="0">
                  <c:v>9</c:v>
                </c:pt>
                <c:pt idx="1">
                  <c:v>7</c:v>
                </c:pt>
                <c:pt idx="2">
                  <c:v>8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1-474C-8146-2830F7CFF6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Distribution of Total Export Volume by Intensity Category (2022-2023)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KPIs_Copy!$G$64</c:f>
              <c:strCache>
                <c:ptCount val="1"/>
                <c:pt idx="0">
                  <c:v>Total_Exports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BF-4C2D-954F-CBBA3ED856F4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BF-4C2D-954F-CBBA3ED856F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BF-4C2D-954F-CBBA3ED856F4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BF-4C2D-954F-CBBA3ED856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BF-4C2D-954F-CBBA3ED856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KPIs_Copy!$F$65:$F$70</c:f>
              <c:strCache>
                <c:ptCount val="5"/>
                <c:pt idx="0">
                  <c:v>No Export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Above Unity</c:v>
                </c:pt>
              </c:strCache>
            </c:strRef>
          </c:cat>
          <c:val>
            <c:numRef>
              <c:f>KPIs_Copy!$G$65:$G$70</c:f>
              <c:numCache>
                <c:formatCode>General</c:formatCode>
                <c:ptCount val="5"/>
                <c:pt idx="0">
                  <c:v>0</c:v>
                </c:pt>
                <c:pt idx="1">
                  <c:v>147203</c:v>
                </c:pt>
                <c:pt idx="2">
                  <c:v>294613.08</c:v>
                </c:pt>
                <c:pt idx="3">
                  <c:v>76720.14</c:v>
                </c:pt>
                <c:pt idx="4">
                  <c:v>95397.91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BF-4C2D-954F-CBBA3ED856F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Distribution of Nigeria’s Global Mineral Export Share (2022-2023)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KPIs_Copy!$F$102</c:f>
              <c:strCache>
                <c:ptCount val="1"/>
                <c:pt idx="0">
                  <c:v>Category_Distribution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9D-4BD3-BFC6-3F0A0F31AF9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9D-4BD3-BFC6-3F0A0F31AF95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9D-4BD3-BFC6-3F0A0F31AF95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9D-4BD3-BFC6-3F0A0F31AF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9D-4BD3-BFC6-3F0A0F31AF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KPIs_Copy!$E$103:$E$107</c:f>
              <c:strCache>
                <c:ptCount val="4"/>
                <c:pt idx="0">
                  <c:v>Low</c:v>
                </c:pt>
                <c:pt idx="1">
                  <c:v>Moderate</c:v>
                </c:pt>
                <c:pt idx="2">
                  <c:v>Significant</c:v>
                </c:pt>
                <c:pt idx="3">
                  <c:v>Negligible</c:v>
                </c:pt>
              </c:strCache>
            </c:strRef>
          </c:cat>
          <c:val>
            <c:numRef>
              <c:f>KPIs_Copy!$F$103:$F$107</c:f>
              <c:numCache>
                <c:formatCode>General</c:formatCode>
                <c:ptCount val="4"/>
                <c:pt idx="0">
                  <c:v>8</c:v>
                </c:pt>
                <c:pt idx="1">
                  <c:v>10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49D-4BD3-BFC6-3F0A0F31AF9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402980</xdr:colOff>
      <xdr:row>0</xdr:row>
      <xdr:rowOff>452803</xdr:rowOff>
    </xdr:from>
    <xdr:to>
      <xdr:col>18</xdr:col>
      <xdr:colOff>124556</xdr:colOff>
      <xdr:row>19</xdr:row>
      <xdr:rowOff>58615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BC33F08-962D-19BD-88CA-F639C2A1F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402980</xdr:colOff>
      <xdr:row>19</xdr:row>
      <xdr:rowOff>58615</xdr:rowOff>
    </xdr:from>
    <xdr:to>
      <xdr:col>18</xdr:col>
      <xdr:colOff>124556</xdr:colOff>
      <xdr:row>38</xdr:row>
      <xdr:rowOff>45427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CB64412-0BDE-4977-A13F-8BF3DF3BB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152399</xdr:colOff>
      <xdr:row>0</xdr:row>
      <xdr:rowOff>481012</xdr:rowOff>
    </xdr:from>
    <xdr:to>
      <xdr:col>27</xdr:col>
      <xdr:colOff>57149</xdr:colOff>
      <xdr:row>19</xdr:row>
      <xdr:rowOff>76200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F10E42F-E992-9659-7D67-403EC42F0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152400</xdr:colOff>
      <xdr:row>19</xdr:row>
      <xdr:rowOff>104775</xdr:rowOff>
    </xdr:from>
    <xdr:to>
      <xdr:col>27</xdr:col>
      <xdr:colOff>57150</xdr:colOff>
      <xdr:row>38</xdr:row>
      <xdr:rowOff>80963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A29FE16-5E85-4C0A-BE11-A0657A813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649941</xdr:colOff>
      <xdr:row>0</xdr:row>
      <xdr:rowOff>23532</xdr:rowOff>
    </xdr:from>
    <xdr:to>
      <xdr:col>11</xdr:col>
      <xdr:colOff>89647</xdr:colOff>
      <xdr:row>23</xdr:row>
      <xdr:rowOff>168087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AFEBF3-A8AB-F1D3-FAAC-3A52A8B8C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616323</xdr:colOff>
      <xdr:row>25</xdr:row>
      <xdr:rowOff>56029</xdr:rowOff>
    </xdr:from>
    <xdr:to>
      <xdr:col>11</xdr:col>
      <xdr:colOff>56029</xdr:colOff>
      <xdr:row>49</xdr:row>
      <xdr:rowOff>10084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BF512B2-CD1D-48E4-B9C3-DA7AFB898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324970</xdr:colOff>
      <xdr:row>9</xdr:row>
      <xdr:rowOff>22412</xdr:rowOff>
    </xdr:from>
    <xdr:to>
      <xdr:col>24</xdr:col>
      <xdr:colOff>257735</xdr:colOff>
      <xdr:row>40</xdr:row>
      <xdr:rowOff>144555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392D676-EF91-4A5A-A4CD-98AB2BD50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728382</xdr:colOff>
      <xdr:row>48</xdr:row>
      <xdr:rowOff>63594</xdr:rowOff>
    </xdr:from>
    <xdr:to>
      <xdr:col>18</xdr:col>
      <xdr:colOff>143995</xdr:colOff>
      <xdr:row>63</xdr:row>
      <xdr:rowOff>330294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F34940-1EA0-BFEC-F019-72BCBCC2B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986117</xdr:colOff>
      <xdr:row>65</xdr:row>
      <xdr:rowOff>168088</xdr:rowOff>
    </xdr:from>
    <xdr:to>
      <xdr:col>14</xdr:col>
      <xdr:colOff>682438</xdr:colOff>
      <xdr:row>81</xdr:row>
      <xdr:rowOff>53788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68AEAA-215E-40FD-8174-91094C70C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291353</xdr:colOff>
      <xdr:row>66</xdr:row>
      <xdr:rowOff>1</xdr:rowOff>
    </xdr:from>
    <xdr:to>
      <xdr:col>22</xdr:col>
      <xdr:colOff>446554</xdr:colOff>
      <xdr:row>81</xdr:row>
      <xdr:rowOff>76201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E1FA4C-9AC1-4154-A2F6-3A02FAE00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E37">
  <autoFilter ref="A1:E37" xr:uid="{00000000-000C-0000-FFFF-FFFF00000000}"/>
  <tableColumns count="5">
    <tableColumn id="1" xr3:uid="{00000000-0010-0000-0000-000001000000}" name="YEAR" totalsRowLabel="Total"/>
    <tableColumn id="2" xr3:uid="{00000000-0010-0000-0000-000002000000}" name="MINERAL" dataDxfId="21"/>
    <tableColumn id="3" xr3:uid="{00000000-0010-0000-0000-000003000000}" name="PROD. QTY_x000a_(Tonnes)" dataDxfId="20"/>
    <tableColumn id="4" xr3:uid="{00000000-0010-0000-0000-000004000000}" name="EXPORT VOL._x000a_(Tonnes)" dataDxfId="19"/>
    <tableColumn id="5" xr3:uid="{00000000-0010-0000-0000-000005000000}" name="GLOBAL DEMAND _x000a_base on World Prod._x000a_(Tonnes)" totalsRowFunction="count" dataDxfId="18"/>
  </tableColumns>
  <tableStyleInfo name="TableStylePreset8_Accen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I37" totalsRowShown="0">
  <tableColumns count="9">
    <tableColumn id="1" xr3:uid="{00000000-0010-0000-0100-000001000000}" name="Year"/>
    <tableColumn id="2" xr3:uid="{00000000-0010-0000-0100-000002000000}" name="Minerals" dataDxfId="17"/>
    <tableColumn id="3" xr3:uid="{00000000-0010-0000-0100-000003000000}" name="YoY_Prod_%" dataDxfId="16">
      <calculatedColumnFormula>IFERROR(((Raw_Data!C2-Raw_Data!C20)/Raw_Data!C20),"NA")</calculatedColumnFormula>
    </tableColumn>
    <tableColumn id="4" xr3:uid="{00000000-0010-0000-0100-000004000000}" name="YoY_Export_%" dataDxfId="15">
      <calculatedColumnFormula>IFERROR(((Raw_Data!D2-Raw_Data!D20)/Raw_Data!D20),"NA")</calculatedColumnFormula>
    </tableColumn>
    <tableColumn id="5" xr3:uid="{00000000-0010-0000-0100-000005000000}" name="YoY_Global_Demand_%" dataDxfId="14">
      <calculatedColumnFormula>IFERROR(((Raw_Data!E2-Raw_Data!E20)/Raw_Data!E20),"NA")</calculatedColumnFormula>
    </tableColumn>
    <tableColumn id="6" xr3:uid="{00000000-0010-0000-0100-000006000000}" name="Export_Intensity" dataDxfId="13">
      <calculatedColumnFormula>IFERROR((Raw_Data!D2/Raw_Data!C2),"NA")</calculatedColumnFormula>
    </tableColumn>
    <tableColumn id="9" xr3:uid="{E801503F-8B90-47CD-9188-28193AE9B60B}" name="Export_Intensity_Category" dataDxfId="12">
      <calculatedColumnFormula>IF(F2=0, "No Export", IF(F2&lt;0.25, "Low", IF(F2&lt;0.75, "Medium", IF(F2&lt;=1, "High", IF(F2="NA", "NA", "Above Unity")))))</calculatedColumnFormula>
    </tableColumn>
    <tableColumn id="7" xr3:uid="{00000000-0010-0000-0100-000007000000}" name="Global_Share" dataDxfId="11">
      <calculatedColumnFormula>IFERROR((Raw_Data!C2/Raw_Data!E2),"NA")</calculatedColumnFormula>
    </tableColumn>
    <tableColumn id="10" xr3:uid="{D5DF50B3-3FFF-4D42-BB21-83824F801EF9}" name="Global_Share_Category" dataDxfId="10">
      <calculatedColumnFormula>IF(H2&lt;0.0001, "Negligible", IF(H2&lt;0.001, "Low", IF(H2&lt;0.01, "Moderate", IF(H2&gt;="NA", "NA", "Significant"))))</calculatedColumnFormula>
    </tableColumn>
  </tableColumns>
  <tableStyleInfo name="TableStylePreset3_Dark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E97D08-2B8A-48E3-936F-D8DBAAA0F837}" name="Table4" displayName="Table4" ref="A1:B19" totalsRowShown="0">
  <autoFilter ref="A1:B19" xr:uid="{A4E97D08-2B8A-48E3-936F-D8DBAAA0F837}">
    <filterColumn colId="0">
      <filters>
        <filter val="Barite"/>
        <filter val="Beryl"/>
        <filter val="Coal"/>
        <filter val="Columbite"/>
        <filter val="Copper"/>
        <filter val="Feldspar"/>
        <filter val="Gold"/>
        <filter val="Gypsum"/>
        <filter val="Kaolin"/>
        <filter val="Lead/Zinc Ore"/>
        <filter val="Limestone"/>
        <filter val="Lithium"/>
        <filter val="Manganese"/>
        <filter val="Talc"/>
        <filter val="Tantalite"/>
        <filter val="Tin Ore"/>
      </filters>
    </filterColumn>
  </autoFilter>
  <sortState xmlns:xlrd2="http://schemas.microsoft.com/office/spreadsheetml/2017/richdata2" ref="A2:B19">
    <sortCondition ref="B1:B19"/>
  </sortState>
  <tableColumns count="2">
    <tableColumn id="1" xr3:uid="{2F17D0B5-3054-4B2F-AF51-142F790FB0A9}" name="Minerals"/>
    <tableColumn id="2" xr3:uid="{50957AD4-CAC5-4ED8-9C7B-87AD2E71FA8B}" name="YoY_Prod_%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6E2623-E3BC-45BA-B960-2C411FA8F9E3}" name="Table6" displayName="Table6" ref="A43:B61" totalsRowShown="0">
  <autoFilter ref="A43:B61" xr:uid="{096E2623-E3BC-45BA-B960-2C411FA8F9E3}">
    <filterColumn colId="1">
      <filters>
        <filter val="0.00%"/>
        <filter val="0.71%"/>
        <filter val="1.39%"/>
        <filter val="10.14%"/>
        <filter val="10.22%"/>
        <filter val="14.29%"/>
        <filter val="-15.22%"/>
        <filter val="2.91%"/>
        <filter val="-2.93%"/>
        <filter val="29.75%"/>
        <filter val="3.19%"/>
        <filter val="3.60%"/>
        <filter val="6.64%"/>
        <filter val="-7.47%"/>
        <filter val="-8.92%"/>
      </filters>
    </filterColumn>
  </autoFilter>
  <sortState xmlns:xlrd2="http://schemas.microsoft.com/office/spreadsheetml/2017/richdata2" ref="A44:B61">
    <sortCondition ref="B43:B61"/>
  </sortState>
  <tableColumns count="2">
    <tableColumn id="1" xr3:uid="{90D9E125-3305-458F-8FC2-86826DCC6629}" name="Minerals"/>
    <tableColumn id="2" xr3:uid="{1D6A590A-2483-4619-B371-F63C8AE0E12B}" name="YoY_Global_Demand_%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224D46-979C-4762-A670-2A178EA42957}" name="Table7" displayName="Table7" ref="A64:D100" totalsRowShown="0">
  <autoFilter ref="A64:D100" xr:uid="{2C224D46-979C-4762-A670-2A178EA42957}">
    <filterColumn colId="2">
      <filters>
        <filter val="Above Unity"/>
        <filter val="High"/>
        <filter val="Low"/>
        <filter val="Medium"/>
        <filter val="No Export"/>
      </filters>
    </filterColumn>
  </autoFilter>
  <tableColumns count="4">
    <tableColumn id="3" xr3:uid="{61A5FED0-9AEA-467C-B70E-DFF13A3BD47E}" name="Year"/>
    <tableColumn id="1" xr3:uid="{031C2F1A-2246-4B7A-830A-0FE7E73684A4}" name="Minerals"/>
    <tableColumn id="2" xr3:uid="{9F83E337-10FB-441B-8400-6A74F0D71807}" name="Export_Intensity_Category"/>
    <tableColumn id="4" xr3:uid="{B9261B3A-25E3-472C-9BAD-2CF5EABAF731}" name="EXPORT VOL._x000a_(Tonnes)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A0932E8-8FDD-4FC6-A66E-03606A1639CB}" name="Table8" displayName="Table8" ref="A102:C138" totalsRowShown="0">
  <autoFilter ref="A102:C138" xr:uid="{5A0932E8-8FDD-4FC6-A66E-03606A1639CB}">
    <filterColumn colId="2">
      <filters>
        <filter val="Low"/>
        <filter val="Moderate"/>
        <filter val="Negligible"/>
        <filter val="Significant"/>
      </filters>
    </filterColumn>
  </autoFilter>
  <tableColumns count="3">
    <tableColumn id="3" xr3:uid="{7B0B0244-D1E6-4A77-ABBA-B40810382574}" name="Year"/>
    <tableColumn id="1" xr3:uid="{4BBF2F25-39B0-4FD4-BEDE-98F7B5407FF1}" name="Minerals"/>
    <tableColumn id="2" xr3:uid="{E92E5854-78C4-4356-80DD-CF6E03EFAB70}" name="Global_Share_Catego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89BF5AD-C31A-47CA-8E33-73314D021AB8}" name="Table9" displayName="Table9" ref="A22:B40" totalsRowShown="0">
  <autoFilter ref="A22:B40" xr:uid="{F89BF5AD-C31A-47CA-8E33-73314D021AB8}">
    <filterColumn colId="1">
      <filters>
        <filter val="-100.00%"/>
        <filter val="140.00%"/>
        <filter val="-18.98%"/>
        <filter val="26.44%"/>
        <filter val="305.12%"/>
        <filter val="-36.36%"/>
        <filter val="38.47%"/>
        <filter val="512.00%"/>
        <filter val="-58.31%"/>
        <filter val="-65.03%"/>
        <filter val="66.67%"/>
        <filter val="-97.40%"/>
      </filters>
    </filterColumn>
  </autoFilter>
  <sortState xmlns:xlrd2="http://schemas.microsoft.com/office/spreadsheetml/2017/richdata2" ref="A23:B40">
    <sortCondition ref="B22:B40"/>
  </sortState>
  <tableColumns count="2">
    <tableColumn id="1" xr3:uid="{92555F9C-F237-420A-8AFB-4DCAA08ABEE4}" name="Minerals"/>
    <tableColumn id="2" xr3:uid="{71ACB729-9D24-4916-A7EF-F6F28BA12589}" name="YoY_Export_%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Normal="100" workbookViewId="0">
      <selection activeCell="B7" sqref="B7"/>
    </sheetView>
  </sheetViews>
  <sheetFormatPr defaultColWidth="9" defaultRowHeight="15"/>
  <cols>
    <col min="1" max="1" width="7.85546875" bestFit="1" customWidth="1"/>
    <col min="2" max="2" width="13.42578125" customWidth="1"/>
    <col min="3" max="3" width="13.7109375" style="8" bestFit="1" customWidth="1"/>
    <col min="4" max="4" width="11.140625" style="8" customWidth="1"/>
    <col min="5" max="5" width="21.5703125" style="9" bestFit="1" customWidth="1"/>
  </cols>
  <sheetData>
    <row r="1" spans="1:5" s="1" customFormat="1" ht="45">
      <c r="A1" s="1" t="s">
        <v>0</v>
      </c>
      <c r="B1" s="1" t="s">
        <v>1</v>
      </c>
      <c r="C1" s="10" t="s">
        <v>2</v>
      </c>
      <c r="D1" s="10" t="s">
        <v>3</v>
      </c>
      <c r="E1" s="11" t="s">
        <v>4</v>
      </c>
    </row>
    <row r="2" spans="1:5">
      <c r="A2">
        <v>2023</v>
      </c>
      <c r="B2" t="s">
        <v>5</v>
      </c>
      <c r="C2" s="12">
        <v>30</v>
      </c>
      <c r="D2" s="8">
        <v>0</v>
      </c>
      <c r="E2" s="9">
        <v>7900000</v>
      </c>
    </row>
    <row r="3" spans="1:5">
      <c r="A3">
        <v>2023</v>
      </c>
      <c r="B3" t="s">
        <v>27</v>
      </c>
      <c r="C3" s="12">
        <v>978</v>
      </c>
      <c r="D3" s="8">
        <v>189</v>
      </c>
      <c r="E3" s="9">
        <v>8234</v>
      </c>
    </row>
    <row r="4" spans="1:5">
      <c r="A4">
        <v>2023</v>
      </c>
      <c r="B4" t="s">
        <v>6</v>
      </c>
      <c r="C4" s="8">
        <v>481691.9</v>
      </c>
      <c r="D4" s="8">
        <v>154260</v>
      </c>
      <c r="E4" s="9">
        <v>9096000000</v>
      </c>
    </row>
    <row r="5" spans="1:5">
      <c r="A5">
        <v>2023</v>
      </c>
      <c r="B5" t="s">
        <v>30</v>
      </c>
      <c r="C5" s="8">
        <v>1860.46</v>
      </c>
      <c r="D5" s="8">
        <v>1128</v>
      </c>
      <c r="E5" s="9" t="s">
        <v>14</v>
      </c>
    </row>
    <row r="6" spans="1:5">
      <c r="A6">
        <v>2023</v>
      </c>
      <c r="B6" t="s">
        <v>7</v>
      </c>
      <c r="C6" s="12">
        <v>0</v>
      </c>
      <c r="D6" s="8">
        <v>25</v>
      </c>
      <c r="E6" s="9">
        <v>23000000</v>
      </c>
    </row>
    <row r="7" spans="1:5">
      <c r="A7">
        <v>2023</v>
      </c>
      <c r="B7" t="s">
        <v>29</v>
      </c>
      <c r="C7" s="12">
        <v>76575.16</v>
      </c>
      <c r="D7" s="8">
        <v>0</v>
      </c>
      <c r="E7" s="9">
        <v>32300000</v>
      </c>
    </row>
    <row r="8" spans="1:5">
      <c r="A8">
        <v>2023</v>
      </c>
      <c r="B8" t="s">
        <v>8</v>
      </c>
      <c r="C8" s="12">
        <v>2.7</v>
      </c>
      <c r="D8" s="8">
        <v>1.68</v>
      </c>
      <c r="E8" s="9">
        <v>3300</v>
      </c>
    </row>
    <row r="9" spans="1:5">
      <c r="A9">
        <v>2023</v>
      </c>
      <c r="B9" t="s">
        <v>9</v>
      </c>
      <c r="C9" s="8">
        <v>45235.18</v>
      </c>
      <c r="D9" s="8">
        <v>1000</v>
      </c>
      <c r="E9" s="9">
        <v>169700000</v>
      </c>
    </row>
    <row r="10" spans="1:5">
      <c r="A10">
        <v>2023</v>
      </c>
      <c r="B10" t="s">
        <v>10</v>
      </c>
      <c r="C10" s="8">
        <v>8896</v>
      </c>
      <c r="D10" s="8">
        <v>3500</v>
      </c>
      <c r="E10" s="9">
        <v>2507000000</v>
      </c>
    </row>
    <row r="11" spans="1:5">
      <c r="A11">
        <v>2023</v>
      </c>
      <c r="B11" t="s">
        <v>11</v>
      </c>
      <c r="C11" s="8">
        <v>3000</v>
      </c>
      <c r="D11" s="8">
        <v>0</v>
      </c>
      <c r="E11" s="9">
        <v>28600000</v>
      </c>
    </row>
    <row r="12" spans="1:5">
      <c r="A12">
        <v>2023</v>
      </c>
      <c r="B12" t="s">
        <v>12</v>
      </c>
      <c r="C12" s="12">
        <v>145803</v>
      </c>
      <c r="D12" s="8">
        <v>58920</v>
      </c>
      <c r="E12" s="9">
        <v>16100000</v>
      </c>
    </row>
    <row r="13" spans="1:5">
      <c r="A13">
        <v>2023</v>
      </c>
      <c r="B13" t="s">
        <v>13</v>
      </c>
      <c r="C13" s="8">
        <v>49057064.079999998</v>
      </c>
      <c r="D13" s="8">
        <v>20000</v>
      </c>
      <c r="E13" s="9" t="s">
        <v>14</v>
      </c>
    </row>
    <row r="14" spans="1:5">
      <c r="A14">
        <v>2023</v>
      </c>
      <c r="B14" t="s">
        <v>15</v>
      </c>
      <c r="C14" s="8">
        <v>78317.289999999994</v>
      </c>
      <c r="D14" s="8">
        <v>35887</v>
      </c>
      <c r="E14" s="9">
        <v>209800</v>
      </c>
    </row>
    <row r="15" spans="1:5">
      <c r="A15">
        <v>2023</v>
      </c>
      <c r="B15" t="s">
        <v>16</v>
      </c>
      <c r="C15" s="8">
        <v>3600</v>
      </c>
      <c r="D15" s="8">
        <v>36000</v>
      </c>
      <c r="E15" s="9">
        <v>53000000</v>
      </c>
    </row>
    <row r="16" spans="1:5">
      <c r="A16">
        <v>2023</v>
      </c>
      <c r="B16" t="s">
        <v>17</v>
      </c>
      <c r="C16" s="8">
        <v>145</v>
      </c>
      <c r="D16" s="8">
        <v>5218</v>
      </c>
      <c r="E16" s="9">
        <v>302000</v>
      </c>
    </row>
    <row r="17" spans="1:5">
      <c r="A17">
        <v>2023</v>
      </c>
      <c r="B17" t="s">
        <v>28</v>
      </c>
      <c r="C17" s="8">
        <v>64400</v>
      </c>
      <c r="D17" s="8">
        <v>306</v>
      </c>
      <c r="E17" s="9">
        <v>7600000</v>
      </c>
    </row>
    <row r="18" spans="1:5">
      <c r="A18">
        <v>2023</v>
      </c>
      <c r="B18" t="s">
        <v>18</v>
      </c>
      <c r="C18" s="8">
        <v>5.39</v>
      </c>
      <c r="D18" s="8">
        <v>65</v>
      </c>
      <c r="E18" s="9">
        <v>1600</v>
      </c>
    </row>
    <row r="19" spans="1:5">
      <c r="A19">
        <v>2023</v>
      </c>
      <c r="B19" t="s">
        <v>19</v>
      </c>
      <c r="C19" s="12">
        <v>4642.75</v>
      </c>
      <c r="D19" s="8">
        <v>3921</v>
      </c>
      <c r="E19" s="9">
        <v>29100</v>
      </c>
    </row>
    <row r="20" spans="1:5">
      <c r="A20">
        <v>2022</v>
      </c>
      <c r="B20" t="s">
        <v>5</v>
      </c>
      <c r="C20" s="8">
        <v>1170</v>
      </c>
      <c r="D20" s="8">
        <v>0</v>
      </c>
      <c r="E20" s="9">
        <v>7900000</v>
      </c>
    </row>
    <row r="21" spans="1:5">
      <c r="A21">
        <v>2022</v>
      </c>
      <c r="B21" t="s">
        <v>27</v>
      </c>
      <c r="C21" s="8">
        <v>349</v>
      </c>
      <c r="D21" s="8">
        <v>0</v>
      </c>
      <c r="E21" s="9">
        <v>7721</v>
      </c>
    </row>
    <row r="22" spans="1:5">
      <c r="A22">
        <v>2022</v>
      </c>
      <c r="B22" t="s">
        <v>6</v>
      </c>
      <c r="C22" s="8">
        <v>1505197</v>
      </c>
      <c r="D22" s="8">
        <v>122000</v>
      </c>
      <c r="E22" s="9">
        <v>8815000000</v>
      </c>
    </row>
    <row r="23" spans="1:5">
      <c r="A23">
        <v>2022</v>
      </c>
      <c r="B23" t="s">
        <v>30</v>
      </c>
      <c r="C23" s="8">
        <v>5899</v>
      </c>
      <c r="D23" s="8">
        <v>43382.33</v>
      </c>
      <c r="E23" s="9" t="s">
        <v>14</v>
      </c>
    </row>
    <row r="24" spans="1:5">
      <c r="A24">
        <v>2022</v>
      </c>
      <c r="B24" t="s">
        <v>7</v>
      </c>
      <c r="C24" s="8">
        <v>82</v>
      </c>
      <c r="D24" s="8">
        <v>71.5</v>
      </c>
      <c r="E24" s="9">
        <v>22200000</v>
      </c>
    </row>
    <row r="25" spans="1:5">
      <c r="A25">
        <v>2022</v>
      </c>
      <c r="B25" t="s">
        <v>29</v>
      </c>
      <c r="C25" s="8">
        <v>37250</v>
      </c>
      <c r="D25" s="8">
        <v>3658</v>
      </c>
      <c r="E25" s="9">
        <v>38100000</v>
      </c>
    </row>
    <row r="26" spans="1:5">
      <c r="A26">
        <v>2022</v>
      </c>
      <c r="B26" t="s">
        <v>8</v>
      </c>
      <c r="C26" s="8">
        <v>2.9</v>
      </c>
      <c r="D26" s="8">
        <v>2.64</v>
      </c>
      <c r="E26" s="9">
        <v>3300</v>
      </c>
    </row>
    <row r="27" spans="1:5">
      <c r="A27">
        <v>2022</v>
      </c>
      <c r="B27" t="s">
        <v>9</v>
      </c>
      <c r="C27" s="8">
        <v>183628</v>
      </c>
      <c r="D27" s="8">
        <v>0</v>
      </c>
      <c r="E27" s="9">
        <v>168500000</v>
      </c>
    </row>
    <row r="28" spans="1:5">
      <c r="A28">
        <v>2022</v>
      </c>
      <c r="B28" t="s">
        <v>10</v>
      </c>
      <c r="C28" s="8">
        <v>283</v>
      </c>
      <c r="D28" s="8">
        <v>0</v>
      </c>
      <c r="E28" s="9">
        <v>2436000000</v>
      </c>
    </row>
    <row r="29" spans="1:5">
      <c r="A29">
        <v>2022</v>
      </c>
      <c r="B29" t="s">
        <v>11</v>
      </c>
      <c r="C29" s="8">
        <v>70396</v>
      </c>
      <c r="D29" s="8">
        <v>0</v>
      </c>
      <c r="E29" s="9">
        <v>31400000</v>
      </c>
    </row>
    <row r="30" spans="1:5">
      <c r="A30">
        <v>2022</v>
      </c>
      <c r="B30" t="s">
        <v>12</v>
      </c>
      <c r="C30" s="8">
        <v>89130</v>
      </c>
      <c r="D30" s="8">
        <v>72725</v>
      </c>
      <c r="E30" s="9">
        <v>17400000</v>
      </c>
    </row>
    <row r="31" spans="1:5">
      <c r="A31">
        <v>2022</v>
      </c>
      <c r="B31" t="s">
        <v>13</v>
      </c>
      <c r="C31" s="8">
        <v>37260778</v>
      </c>
      <c r="D31" s="8">
        <v>0</v>
      </c>
      <c r="E31" s="9" t="s">
        <v>14</v>
      </c>
    </row>
    <row r="32" spans="1:5">
      <c r="A32">
        <v>2022</v>
      </c>
      <c r="B32" t="s">
        <v>15</v>
      </c>
      <c r="C32" s="8">
        <v>51524</v>
      </c>
      <c r="D32" s="8">
        <v>25916.400000000001</v>
      </c>
      <c r="E32" s="9">
        <v>161700</v>
      </c>
    </row>
    <row r="33" spans="1:5">
      <c r="A33">
        <v>2022</v>
      </c>
      <c r="B33" t="s">
        <v>16</v>
      </c>
      <c r="C33" s="8">
        <v>56014</v>
      </c>
      <c r="D33" s="8">
        <v>15000</v>
      </c>
      <c r="E33" s="9">
        <v>54600000</v>
      </c>
    </row>
    <row r="34" spans="1:5">
      <c r="A34">
        <v>2022</v>
      </c>
      <c r="B34" t="s">
        <v>17</v>
      </c>
      <c r="C34" s="8">
        <v>15</v>
      </c>
      <c r="D34" s="8">
        <v>1288</v>
      </c>
      <c r="E34" s="9">
        <v>274000</v>
      </c>
    </row>
    <row r="35" spans="1:5">
      <c r="A35">
        <v>2022</v>
      </c>
      <c r="B35" t="s">
        <v>28</v>
      </c>
      <c r="C35" s="8">
        <v>65000</v>
      </c>
      <c r="D35" s="8">
        <v>50</v>
      </c>
      <c r="E35" s="9">
        <v>6900000</v>
      </c>
    </row>
    <row r="36" spans="1:5">
      <c r="A36">
        <v>2022</v>
      </c>
      <c r="B36" t="s">
        <v>18</v>
      </c>
      <c r="C36" s="8">
        <v>4</v>
      </c>
      <c r="D36" s="8">
        <v>39</v>
      </c>
      <c r="E36" s="9">
        <v>1400</v>
      </c>
    </row>
    <row r="37" spans="1:5">
      <c r="A37">
        <v>2022</v>
      </c>
      <c r="B37" t="s">
        <v>19</v>
      </c>
      <c r="C37" s="8">
        <v>1705</v>
      </c>
      <c r="D37" s="8">
        <v>9405.58</v>
      </c>
      <c r="E37" s="9">
        <v>28700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F6" sqref="F6"/>
    </sheetView>
  </sheetViews>
  <sheetFormatPr defaultColWidth="9.140625" defaultRowHeight="15"/>
  <cols>
    <col min="1" max="1" width="5.5703125" customWidth="1"/>
    <col min="2" max="2" width="14.28515625" customWidth="1"/>
    <col min="3" max="3" width="12.7109375" style="2" customWidth="1"/>
    <col min="4" max="4" width="14.42578125" style="2" customWidth="1"/>
    <col min="5" max="5" width="16.85546875" style="2" customWidth="1"/>
    <col min="6" max="7" width="16.85546875" style="3" customWidth="1"/>
    <col min="8" max="8" width="13.7109375" style="4" customWidth="1"/>
    <col min="9" max="9" width="12.42578125" customWidth="1"/>
  </cols>
  <sheetData>
    <row r="1" spans="1:9" s="1" customFormat="1">
      <c r="A1" s="1" t="s">
        <v>20</v>
      </c>
      <c r="B1" s="1" t="s">
        <v>21</v>
      </c>
      <c r="C1" s="15" t="s">
        <v>22</v>
      </c>
      <c r="D1" s="5" t="s">
        <v>23</v>
      </c>
      <c r="E1" s="5" t="s">
        <v>24</v>
      </c>
      <c r="F1" s="6" t="s">
        <v>25</v>
      </c>
      <c r="G1" s="16" t="s">
        <v>31</v>
      </c>
      <c r="H1" s="7" t="s">
        <v>26</v>
      </c>
      <c r="I1" s="17" t="s">
        <v>32</v>
      </c>
    </row>
    <row r="2" spans="1:9">
      <c r="A2">
        <v>2023</v>
      </c>
      <c r="B2" t="s">
        <v>5</v>
      </c>
      <c r="C2" s="2">
        <f>IFERROR(((Raw_Data!C2-Raw_Data!C20)/Raw_Data!C20),"NA")</f>
        <v>-0.97435897435897434</v>
      </c>
      <c r="D2" s="2" t="str">
        <f>IFERROR(((Raw_Data!D2-Raw_Data!D20)/Raw_Data!D20),"NA")</f>
        <v>NA</v>
      </c>
      <c r="E2" s="2">
        <f>IFERROR(((Raw_Data!E2-Raw_Data!E20)/Raw_Data!E20),"NA")</f>
        <v>0</v>
      </c>
      <c r="F2" s="3">
        <f>IFERROR((Raw_Data!D2/Raw_Data!C2),"NA")</f>
        <v>0</v>
      </c>
      <c r="G2" s="3" t="str">
        <f t="shared" ref="G2:G37" si="0">IF(F2=0, "No Export", IF(F2&lt;0.25, "Low", IF(F2&lt;0.75, "Medium", IF(F2&lt;=1, "High", IF(F2="NA", "NA", "Above Unity")))))</f>
        <v>No Export</v>
      </c>
      <c r="H2" s="4">
        <f>IFERROR((Raw_Data!C2/Raw_Data!E2),"NA")</f>
        <v>3.7974683544303798E-6</v>
      </c>
      <c r="I2" s="4" t="str">
        <f t="shared" ref="I2:I37" si="1">IF(H2&lt;0.0001, "Negligible", IF(H2&lt;0.001, "Low", IF(H2&lt;0.01, "Moderate", IF(H2&gt;="NA", "NA", "Significant"))))</f>
        <v>Negligible</v>
      </c>
    </row>
    <row r="3" spans="1:9">
      <c r="A3">
        <v>2023</v>
      </c>
      <c r="B3" t="s">
        <v>27</v>
      </c>
      <c r="C3" s="2">
        <f>IFERROR(((Raw_Data!C3-Raw_Data!C21)/Raw_Data!C21),"NA")</f>
        <v>1.8022922636103151</v>
      </c>
      <c r="D3" s="2" t="str">
        <f>IFERROR(((Raw_Data!D3-Raw_Data!D21)/Raw_Data!D21),"NA")</f>
        <v>NA</v>
      </c>
      <c r="E3" s="2">
        <f>IFERROR(((Raw_Data!E3-Raw_Data!E21)/Raw_Data!E21),"NA")</f>
        <v>6.6442170703276779E-2</v>
      </c>
      <c r="F3" s="3">
        <f>IFERROR((Raw_Data!D3/Raw_Data!C3),"NA")</f>
        <v>0.19325153374233128</v>
      </c>
      <c r="G3" s="3" t="str">
        <f t="shared" si="0"/>
        <v>Low</v>
      </c>
      <c r="H3" s="14">
        <f>IFERROR((Raw_Data!C3/Raw_Data!E3),"NA")</f>
        <v>0.1187758076269128</v>
      </c>
      <c r="I3" s="14" t="str">
        <f t="shared" si="1"/>
        <v>Significant</v>
      </c>
    </row>
    <row r="4" spans="1:9">
      <c r="A4">
        <v>2023</v>
      </c>
      <c r="B4" t="s">
        <v>6</v>
      </c>
      <c r="C4" s="2">
        <f>IFERROR(((Raw_Data!C4-Raw_Data!C22)/Raw_Data!C22),"NA")</f>
        <v>-0.67998082643002877</v>
      </c>
      <c r="D4" s="2">
        <f>IFERROR(((Raw_Data!D4-Raw_Data!D22)/Raw_Data!D22),"NA")</f>
        <v>0.26442622950819672</v>
      </c>
      <c r="E4" s="2">
        <f>IFERROR(((Raw_Data!E4-Raw_Data!E22)/Raw_Data!E22),"NA")</f>
        <v>3.187748156551333E-2</v>
      </c>
      <c r="F4" s="3">
        <f>IFERROR((Raw_Data!D4/Raw_Data!C4),"NA")</f>
        <v>0.3202461988669521</v>
      </c>
      <c r="G4" s="3" t="str">
        <f t="shared" si="0"/>
        <v>Medium</v>
      </c>
      <c r="H4" s="4">
        <f>IFERROR((Raw_Data!C4/Raw_Data!E4),"NA")</f>
        <v>5.2956453386103786E-5</v>
      </c>
      <c r="I4" s="4" t="str">
        <f t="shared" si="1"/>
        <v>Negligible</v>
      </c>
    </row>
    <row r="5" spans="1:9">
      <c r="A5">
        <v>2023</v>
      </c>
      <c r="B5" t="s">
        <v>30</v>
      </c>
      <c r="C5" s="2">
        <f>IFERROR(((Raw_Data!C5-Raw_Data!C23)/Raw_Data!C23),"NA")</f>
        <v>-0.68461434141379895</v>
      </c>
      <c r="D5" s="2">
        <f>IFERROR(((Raw_Data!D5-Raw_Data!D23)/Raw_Data!D23),"NA")</f>
        <v>-0.97399863031791978</v>
      </c>
      <c r="E5" s="2" t="str">
        <f>IFERROR(((Raw_Data!E5-Raw_Data!E23)/Raw_Data!E23),"NA")</f>
        <v>NA</v>
      </c>
      <c r="F5" s="3">
        <f>IFERROR((Raw_Data!D5/Raw_Data!C5),"NA")</f>
        <v>0.60630166732958513</v>
      </c>
      <c r="G5" s="3" t="str">
        <f t="shared" si="0"/>
        <v>Medium</v>
      </c>
      <c r="H5" s="4" t="str">
        <f>IFERROR((Raw_Data!C5/Raw_Data!E5),"NA")</f>
        <v>NA</v>
      </c>
      <c r="I5" s="4" t="str">
        <f t="shared" si="1"/>
        <v>NA</v>
      </c>
    </row>
    <row r="6" spans="1:9">
      <c r="A6">
        <v>2023</v>
      </c>
      <c r="B6" t="s">
        <v>7</v>
      </c>
      <c r="C6" s="2">
        <f>IFERROR(((Raw_Data!C6-Raw_Data!C24)/Raw_Data!C24),"NA")</f>
        <v>-1</v>
      </c>
      <c r="D6" s="2">
        <f>IFERROR(((Raw_Data!D6-Raw_Data!D24)/Raw_Data!D24),"NA")</f>
        <v>-0.65034965034965031</v>
      </c>
      <c r="E6" s="2">
        <f>IFERROR(((Raw_Data!E6-Raw_Data!E24)/Raw_Data!E24),"NA")</f>
        <v>3.6036036036036036E-2</v>
      </c>
      <c r="F6" s="3" t="str">
        <f>IFERROR((Raw_Data!D6/Raw_Data!C6),"NA")</f>
        <v>NA</v>
      </c>
      <c r="G6" s="3" t="str">
        <f t="shared" si="0"/>
        <v>NA</v>
      </c>
      <c r="H6" s="4">
        <f>IFERROR((Raw_Data!C6/Raw_Data!E6),"NA")</f>
        <v>0</v>
      </c>
      <c r="I6" s="4" t="str">
        <f t="shared" si="1"/>
        <v>Negligible</v>
      </c>
    </row>
    <row r="7" spans="1:9">
      <c r="A7">
        <v>2023</v>
      </c>
      <c r="B7" s="13" t="s">
        <v>29</v>
      </c>
      <c r="C7" s="2">
        <f>IFERROR(((Raw_Data!C7-Raw_Data!C25)/Raw_Data!C25),"NA")</f>
        <v>1.0557089932885908</v>
      </c>
      <c r="D7" s="2">
        <f>IFERROR(((Raw_Data!D7-Raw_Data!D25)/Raw_Data!D25),"NA")</f>
        <v>-1</v>
      </c>
      <c r="E7" s="2">
        <f>IFERROR(((Raw_Data!E7-Raw_Data!E25)/Raw_Data!E25),"NA")</f>
        <v>-0.15223097112860892</v>
      </c>
      <c r="F7" s="3">
        <f>IFERROR((Raw_Data!D7/Raw_Data!C7),"NA")</f>
        <v>0</v>
      </c>
      <c r="G7" s="3" t="str">
        <f t="shared" si="0"/>
        <v>No Export</v>
      </c>
      <c r="H7" s="4">
        <f>IFERROR((Raw_Data!C7/Raw_Data!E7),"NA")</f>
        <v>2.370747987616099E-3</v>
      </c>
      <c r="I7" s="4" t="str">
        <f t="shared" si="1"/>
        <v>Moderate</v>
      </c>
    </row>
    <row r="8" spans="1:9">
      <c r="A8">
        <v>2023</v>
      </c>
      <c r="B8" t="s">
        <v>8</v>
      </c>
      <c r="C8" s="2">
        <f>IFERROR(((Raw_Data!C8-Raw_Data!C26)/Raw_Data!C26),"NA")</f>
        <v>-6.8965517241379226E-2</v>
      </c>
      <c r="D8" s="2">
        <f>IFERROR(((Raw_Data!D8-Raw_Data!D26)/Raw_Data!D26),"NA")</f>
        <v>-0.3636363636363637</v>
      </c>
      <c r="E8" s="2">
        <f>IFERROR(((Raw_Data!E8-Raw_Data!E26)/Raw_Data!E26),"NA")</f>
        <v>0</v>
      </c>
      <c r="F8" s="3">
        <f>IFERROR((Raw_Data!D8/Raw_Data!C8),"NA")</f>
        <v>0.62222222222222212</v>
      </c>
      <c r="G8" s="3" t="str">
        <f t="shared" si="0"/>
        <v>Medium</v>
      </c>
      <c r="H8" s="4">
        <f>IFERROR((Raw_Data!C8/Raw_Data!E8),"NA")</f>
        <v>8.1818181818181827E-4</v>
      </c>
      <c r="I8" s="4" t="str">
        <f t="shared" si="1"/>
        <v>Low</v>
      </c>
    </row>
    <row r="9" spans="1:9">
      <c r="A9">
        <v>2023</v>
      </c>
      <c r="B9" t="s">
        <v>9</v>
      </c>
      <c r="C9" s="2">
        <f>IFERROR(((Raw_Data!C9-Raw_Data!C27)/Raw_Data!C27),"NA")</f>
        <v>-0.75365859237153376</v>
      </c>
      <c r="D9" s="2" t="str">
        <f>IFERROR(((Raw_Data!D9-Raw_Data!D27)/Raw_Data!D27),"NA")</f>
        <v>NA</v>
      </c>
      <c r="E9" s="2">
        <f>IFERROR(((Raw_Data!E9-Raw_Data!E27)/Raw_Data!E27),"NA")</f>
        <v>7.121661721068249E-3</v>
      </c>
      <c r="F9" s="3">
        <f>IFERROR((Raw_Data!D9/Raw_Data!C9),"NA")</f>
        <v>2.2106687759394346E-2</v>
      </c>
      <c r="G9" s="3" t="str">
        <f t="shared" si="0"/>
        <v>Low</v>
      </c>
      <c r="H9" s="4">
        <f>IFERROR((Raw_Data!C9/Raw_Data!E9),"NA")</f>
        <v>2.6655969357690043E-4</v>
      </c>
      <c r="I9" s="4" t="str">
        <f t="shared" si="1"/>
        <v>Low</v>
      </c>
    </row>
    <row r="10" spans="1:9">
      <c r="A10">
        <v>2023</v>
      </c>
      <c r="B10" t="s">
        <v>10</v>
      </c>
      <c r="C10" s="2">
        <f>IFERROR(((Raw_Data!C10-Raw_Data!C28)/Raw_Data!C28),"NA")</f>
        <v>30.434628975265017</v>
      </c>
      <c r="D10" s="2" t="str">
        <f>IFERROR(((Raw_Data!D10-Raw_Data!D28)/Raw_Data!D28),"NA")</f>
        <v>NA</v>
      </c>
      <c r="E10" s="2">
        <f>IFERROR(((Raw_Data!E10-Raw_Data!E28)/Raw_Data!E28),"NA")</f>
        <v>2.9146141215106731E-2</v>
      </c>
      <c r="F10" s="3">
        <f>IFERROR((Raw_Data!D10/Raw_Data!C10),"NA")</f>
        <v>0.39343525179856115</v>
      </c>
      <c r="G10" s="3" t="str">
        <f t="shared" si="0"/>
        <v>Medium</v>
      </c>
      <c r="H10" s="4">
        <f>IFERROR((Raw_Data!C10/Raw_Data!E10),"NA")</f>
        <v>3.5484642999601116E-6</v>
      </c>
      <c r="I10" s="4" t="str">
        <f t="shared" si="1"/>
        <v>Negligible</v>
      </c>
    </row>
    <row r="11" spans="1:9">
      <c r="A11">
        <v>2023</v>
      </c>
      <c r="B11" t="s">
        <v>11</v>
      </c>
      <c r="C11" s="2">
        <f>IFERROR(((Raw_Data!C11-Raw_Data!C29)/Raw_Data!C29),"NA")</f>
        <v>-0.95738394226944712</v>
      </c>
      <c r="D11" s="2" t="str">
        <f>IFERROR(((Raw_Data!D11-Raw_Data!D29)/Raw_Data!D29),"NA")</f>
        <v>NA</v>
      </c>
      <c r="E11" s="2">
        <f>IFERROR(((Raw_Data!E11-Raw_Data!E29)/Raw_Data!E29),"NA")</f>
        <v>-8.9171974522292988E-2</v>
      </c>
      <c r="F11" s="3">
        <f>IFERROR((Raw_Data!D11/Raw_Data!C11),"NA")</f>
        <v>0</v>
      </c>
      <c r="G11" s="3" t="str">
        <f t="shared" si="0"/>
        <v>No Export</v>
      </c>
      <c r="H11" s="4">
        <f>IFERROR((Raw_Data!C11/Raw_Data!E11),"NA")</f>
        <v>1.048951048951049E-4</v>
      </c>
      <c r="I11" s="4" t="str">
        <f t="shared" si="1"/>
        <v>Low</v>
      </c>
    </row>
    <row r="12" spans="1:9">
      <c r="A12">
        <v>2023</v>
      </c>
      <c r="B12" t="s">
        <v>12</v>
      </c>
      <c r="C12" s="2">
        <f>IFERROR(((Raw_Data!C12-Raw_Data!C30)/Raw_Data!C30),"NA")</f>
        <v>0.63584651632446987</v>
      </c>
      <c r="D12" s="2">
        <f>IFERROR(((Raw_Data!D12-Raw_Data!D30)/Raw_Data!D30),"NA")</f>
        <v>-0.18982468202131317</v>
      </c>
      <c r="E12" s="2">
        <f>IFERROR(((Raw_Data!E12-Raw_Data!E30)/Raw_Data!E30),"NA")</f>
        <v>-7.4712643678160925E-2</v>
      </c>
      <c r="F12" s="3">
        <f>IFERROR((Raw_Data!D12/Raw_Data!C12),"NA")</f>
        <v>0.40410691138042426</v>
      </c>
      <c r="G12" s="3" t="str">
        <f t="shared" si="0"/>
        <v>Medium</v>
      </c>
      <c r="H12" s="4">
        <f>IFERROR((Raw_Data!C12/Raw_Data!E12),"NA")</f>
        <v>9.0560869565217399E-3</v>
      </c>
      <c r="I12" s="4" t="str">
        <f t="shared" si="1"/>
        <v>Moderate</v>
      </c>
    </row>
    <row r="13" spans="1:9">
      <c r="A13">
        <v>2023</v>
      </c>
      <c r="B13" t="s">
        <v>13</v>
      </c>
      <c r="C13" s="2">
        <f>IFERROR(((Raw_Data!C13-Raw_Data!C31)/Raw_Data!C31),"NA")</f>
        <v>0.31658721887127528</v>
      </c>
      <c r="D13" s="2" t="str">
        <f>IFERROR(((Raw_Data!D13-Raw_Data!D31)/Raw_Data!D31),"NA")</f>
        <v>NA</v>
      </c>
      <c r="E13" s="2" t="str">
        <f>IFERROR(((Raw_Data!E13-Raw_Data!E31)/Raw_Data!E31),"NA")</f>
        <v>NA</v>
      </c>
      <c r="F13" s="3">
        <f>IFERROR((Raw_Data!D13/Raw_Data!C13),"NA")</f>
        <v>4.0768848228228503E-4</v>
      </c>
      <c r="G13" s="3" t="str">
        <f t="shared" si="0"/>
        <v>Low</v>
      </c>
      <c r="H13" s="4" t="str">
        <f>IFERROR((Raw_Data!C13/Raw_Data!E13),"NA")</f>
        <v>NA</v>
      </c>
      <c r="I13" s="4" t="str">
        <f t="shared" si="1"/>
        <v>NA</v>
      </c>
    </row>
    <row r="14" spans="1:9">
      <c r="A14">
        <v>2023</v>
      </c>
      <c r="B14" t="s">
        <v>15</v>
      </c>
      <c r="C14" s="2">
        <f>IFERROR(((Raw_Data!C14-Raw_Data!C32)/Raw_Data!C32),"NA")</f>
        <v>0.52001572082912806</v>
      </c>
      <c r="D14" s="2">
        <f>IFERROR(((Raw_Data!D14-Raw_Data!D32)/Raw_Data!D32),"NA")</f>
        <v>0.38472164343813176</v>
      </c>
      <c r="E14" s="2">
        <f>IFERROR(((Raw_Data!E14-Raw_Data!E32)/Raw_Data!E32),"NA")</f>
        <v>0.2974644403215832</v>
      </c>
      <c r="F14" s="3">
        <f>IFERROR((Raw_Data!D14/Raw_Data!C14),"NA")</f>
        <v>0.45822576342976118</v>
      </c>
      <c r="G14" s="3" t="str">
        <f t="shared" si="0"/>
        <v>Medium</v>
      </c>
      <c r="H14" s="4">
        <f>IFERROR((Raw_Data!C14/Raw_Data!E14),"NA")</f>
        <v>0.37329499523355575</v>
      </c>
      <c r="I14" s="4" t="str">
        <f t="shared" si="1"/>
        <v>Significant</v>
      </c>
    </row>
    <row r="15" spans="1:9">
      <c r="A15">
        <v>2023</v>
      </c>
      <c r="B15" t="s">
        <v>16</v>
      </c>
      <c r="C15" s="2">
        <f>IFERROR(((Raw_Data!C15-Raw_Data!C33)/Raw_Data!C33),"NA")</f>
        <v>-0.93573035312600417</v>
      </c>
      <c r="D15" s="2">
        <f>IFERROR(((Raw_Data!D15-Raw_Data!D33)/Raw_Data!D33),"NA")</f>
        <v>1.4</v>
      </c>
      <c r="E15" s="2">
        <f>IFERROR(((Raw_Data!E15-Raw_Data!E33)/Raw_Data!E33),"NA")</f>
        <v>-2.9304029304029304E-2</v>
      </c>
      <c r="F15" s="3">
        <f>IFERROR((Raw_Data!D15/Raw_Data!C15),"NA")</f>
        <v>10</v>
      </c>
      <c r="G15" s="3" t="str">
        <f t="shared" si="0"/>
        <v>Above Unity</v>
      </c>
      <c r="H15" s="4">
        <f>IFERROR((Raw_Data!C15/Raw_Data!E15),"NA")</f>
        <v>6.7924528301886798E-5</v>
      </c>
      <c r="I15" s="4" t="str">
        <f t="shared" si="1"/>
        <v>Negligible</v>
      </c>
    </row>
    <row r="16" spans="1:9">
      <c r="A16">
        <v>2023</v>
      </c>
      <c r="B16" t="s">
        <v>17</v>
      </c>
      <c r="C16" s="2">
        <f>IFERROR(((Raw_Data!C16-Raw_Data!C34)/Raw_Data!C34),"NA")</f>
        <v>8.6666666666666661</v>
      </c>
      <c r="D16" s="2">
        <f>IFERROR(((Raw_Data!D16-Raw_Data!D34)/Raw_Data!D34),"NA")</f>
        <v>3.0512422360248448</v>
      </c>
      <c r="E16" s="2">
        <f>IFERROR(((Raw_Data!E16-Raw_Data!E34)/Raw_Data!E34),"NA")</f>
        <v>0.10218978102189781</v>
      </c>
      <c r="F16" s="3">
        <f>IFERROR((Raw_Data!D16/Raw_Data!C16),"NA")</f>
        <v>35.986206896551721</v>
      </c>
      <c r="G16" s="3" t="str">
        <f t="shared" si="0"/>
        <v>Above Unity</v>
      </c>
      <c r="H16" s="4">
        <f>IFERROR((Raw_Data!C16/Raw_Data!E16),"NA")</f>
        <v>4.8013245033112583E-4</v>
      </c>
      <c r="I16" s="4" t="str">
        <f t="shared" si="1"/>
        <v>Low</v>
      </c>
    </row>
    <row r="17" spans="1:9">
      <c r="A17">
        <v>2023</v>
      </c>
      <c r="B17" s="13" t="s">
        <v>28</v>
      </c>
      <c r="C17" s="2">
        <f>IFERROR(((Raw_Data!C17-Raw_Data!C35)/Raw_Data!C35),"NA")</f>
        <v>-9.2307692307692316E-3</v>
      </c>
      <c r="D17" s="2">
        <f>IFERROR(((Raw_Data!D17-Raw_Data!D35)/Raw_Data!D35),"NA")</f>
        <v>5.12</v>
      </c>
      <c r="E17" s="2">
        <f>IFERROR(((Raw_Data!E17-Raw_Data!E35)/Raw_Data!E35),"NA")</f>
        <v>0.10144927536231885</v>
      </c>
      <c r="F17" s="3">
        <f>IFERROR((Raw_Data!D17/Raw_Data!C17),"NA")</f>
        <v>4.7515527950310558E-3</v>
      </c>
      <c r="G17" s="3" t="str">
        <f t="shared" si="0"/>
        <v>Low</v>
      </c>
      <c r="H17" s="4">
        <f>IFERROR((Raw_Data!C17/Raw_Data!E17),"NA")</f>
        <v>8.4736842105263156E-3</v>
      </c>
      <c r="I17" s="4" t="str">
        <f t="shared" si="1"/>
        <v>Moderate</v>
      </c>
    </row>
    <row r="18" spans="1:9">
      <c r="A18">
        <v>2023</v>
      </c>
      <c r="B18" t="s">
        <v>18</v>
      </c>
      <c r="C18" s="2">
        <f>IFERROR(((Raw_Data!C18-Raw_Data!C36)/Raw_Data!C36),"NA")</f>
        <v>0.34749999999999992</v>
      </c>
      <c r="D18" s="2">
        <f>IFERROR(((Raw_Data!D18-Raw_Data!D36)/Raw_Data!D36),"NA")</f>
        <v>0.66666666666666663</v>
      </c>
      <c r="E18" s="2">
        <f>IFERROR(((Raw_Data!E18-Raw_Data!E36)/Raw_Data!E36),"NA")</f>
        <v>0.14285714285714285</v>
      </c>
      <c r="F18" s="3">
        <f>IFERROR((Raw_Data!D18/Raw_Data!C18),"NA")</f>
        <v>12.059369202226346</v>
      </c>
      <c r="G18" s="3" t="str">
        <f t="shared" si="0"/>
        <v>Above Unity</v>
      </c>
      <c r="H18" s="4">
        <f>IFERROR((Raw_Data!C18/Raw_Data!E18),"NA")</f>
        <v>3.3687499999999998E-3</v>
      </c>
      <c r="I18" s="4" t="str">
        <f t="shared" si="1"/>
        <v>Moderate</v>
      </c>
    </row>
    <row r="19" spans="1:9">
      <c r="A19">
        <v>2023</v>
      </c>
      <c r="B19" t="s">
        <v>19</v>
      </c>
      <c r="C19" s="2">
        <f>IFERROR(((Raw_Data!C19-Raw_Data!C37)/Raw_Data!C37),"NA")</f>
        <v>1.7230205278592374</v>
      </c>
      <c r="D19" s="2">
        <f>IFERROR(((Raw_Data!D19-Raw_Data!D37)/Raw_Data!D37),"NA")</f>
        <v>-0.58311980760357152</v>
      </c>
      <c r="E19" s="2">
        <f>IFERROR(((Raw_Data!E19-Raw_Data!E37)/Raw_Data!E37),"NA")</f>
        <v>1.3937282229965157E-2</v>
      </c>
      <c r="F19" s="3">
        <f>IFERROR((Raw_Data!D19/Raw_Data!C19),"NA")</f>
        <v>0.84454256636691616</v>
      </c>
      <c r="G19" s="3" t="str">
        <f t="shared" si="0"/>
        <v>High</v>
      </c>
      <c r="H19" s="4">
        <f>IFERROR((Raw_Data!C19/Raw_Data!E19),"NA")</f>
        <v>0.1595446735395189</v>
      </c>
      <c r="I19" s="4" t="str">
        <f t="shared" si="1"/>
        <v>Significant</v>
      </c>
    </row>
    <row r="20" spans="1:9">
      <c r="A20">
        <v>2022</v>
      </c>
      <c r="B20" t="s">
        <v>5</v>
      </c>
      <c r="C20" s="2" t="str">
        <f>IFERROR(((Raw_Data!C20-Raw_Data!C38)/Raw_Data!C38),"NA")</f>
        <v>NA</v>
      </c>
      <c r="D20" s="2" t="str">
        <f>IFERROR(((Raw_Data!D20-Raw_Data!D38)/Raw_Data!D38),"NA")</f>
        <v>NA</v>
      </c>
      <c r="E20" s="2" t="str">
        <f>IFERROR(((Raw_Data!E20-Raw_Data!E38)/Raw_Data!E38),"NA")</f>
        <v>NA</v>
      </c>
      <c r="F20" s="3">
        <f>IFERROR((Raw_Data!D20/Raw_Data!C20),"NA")</f>
        <v>0</v>
      </c>
      <c r="G20" s="3" t="str">
        <f t="shared" si="0"/>
        <v>No Export</v>
      </c>
      <c r="H20" s="4">
        <f>IFERROR((Raw_Data!C20/Raw_Data!E20),"NA")</f>
        <v>1.481012658227848E-4</v>
      </c>
      <c r="I20" s="4" t="str">
        <f t="shared" si="1"/>
        <v>Low</v>
      </c>
    </row>
    <row r="21" spans="1:9">
      <c r="A21">
        <v>2022</v>
      </c>
      <c r="B21" s="13" t="s">
        <v>27</v>
      </c>
      <c r="C21" s="2" t="str">
        <f>IFERROR(((Raw_Data!C21-Raw_Data!C39)/Raw_Data!C39),"NA")</f>
        <v>NA</v>
      </c>
      <c r="D21" s="2" t="str">
        <f>IFERROR(((Raw_Data!D21-Raw_Data!D39)/Raw_Data!D39),"NA")</f>
        <v>NA</v>
      </c>
      <c r="E21" s="2" t="str">
        <f>IFERROR(((Raw_Data!E21-Raw_Data!E39)/Raw_Data!E39),"NA")</f>
        <v>NA</v>
      </c>
      <c r="F21" s="3">
        <f>IFERROR((Raw_Data!D21/Raw_Data!C21),"NA")</f>
        <v>0</v>
      </c>
      <c r="G21" s="3" t="str">
        <f t="shared" si="0"/>
        <v>No Export</v>
      </c>
      <c r="H21" s="4">
        <f>IFERROR((Raw_Data!C21/Raw_Data!E21),"NA")</f>
        <v>4.5201398782541119E-2</v>
      </c>
      <c r="I21" s="4" t="str">
        <f t="shared" si="1"/>
        <v>Significant</v>
      </c>
    </row>
    <row r="22" spans="1:9">
      <c r="A22">
        <v>2022</v>
      </c>
      <c r="B22" t="s">
        <v>6</v>
      </c>
      <c r="C22" s="2" t="str">
        <f>IFERROR(((Raw_Data!C22-Raw_Data!C40)/Raw_Data!C40),"NA")</f>
        <v>NA</v>
      </c>
      <c r="D22" s="2" t="str">
        <f>IFERROR(((Raw_Data!D22-Raw_Data!D40)/Raw_Data!D40),"NA")</f>
        <v>NA</v>
      </c>
      <c r="E22" s="2" t="str">
        <f>IFERROR(((Raw_Data!E22-Raw_Data!E40)/Raw_Data!E40),"NA")</f>
        <v>NA</v>
      </c>
      <c r="F22" s="3">
        <f>IFERROR((Raw_Data!D22/Raw_Data!C22),"NA")</f>
        <v>8.1052513391934741E-2</v>
      </c>
      <c r="G22" s="3" t="str">
        <f t="shared" si="0"/>
        <v>Low</v>
      </c>
      <c r="H22" s="4">
        <f>IFERROR((Raw_Data!C22/Raw_Data!E22),"NA")</f>
        <v>1.7075405558706749E-4</v>
      </c>
      <c r="I22" s="4" t="str">
        <f t="shared" si="1"/>
        <v>Low</v>
      </c>
    </row>
    <row r="23" spans="1:9">
      <c r="A23">
        <v>2022</v>
      </c>
      <c r="B23" s="13" t="s">
        <v>30</v>
      </c>
      <c r="C23" s="2" t="str">
        <f>IFERROR(((Raw_Data!C23-Raw_Data!C41)/Raw_Data!C41),"NA")</f>
        <v>NA</v>
      </c>
      <c r="D23" s="2" t="str">
        <f>IFERROR(((Raw_Data!D23-Raw_Data!D41)/Raw_Data!D41),"NA")</f>
        <v>NA</v>
      </c>
      <c r="E23" s="2" t="str">
        <f>IFERROR(((Raw_Data!E23-Raw_Data!E41)/Raw_Data!E41),"NA")</f>
        <v>NA</v>
      </c>
      <c r="F23" s="3">
        <f>IFERROR((Raw_Data!D23/Raw_Data!C23),"NA")</f>
        <v>7.3541837599593158</v>
      </c>
      <c r="G23" s="3" t="str">
        <f t="shared" si="0"/>
        <v>Above Unity</v>
      </c>
      <c r="H23" s="4" t="str">
        <f>IFERROR((Raw_Data!C23/Raw_Data!E23),"NA")</f>
        <v>NA</v>
      </c>
      <c r="I23" s="4" t="str">
        <f t="shared" si="1"/>
        <v>NA</v>
      </c>
    </row>
    <row r="24" spans="1:9">
      <c r="A24">
        <v>2022</v>
      </c>
      <c r="B24" t="s">
        <v>7</v>
      </c>
      <c r="C24" s="2" t="str">
        <f>IFERROR(((Raw_Data!C24-Raw_Data!C42)/Raw_Data!C42),"NA")</f>
        <v>NA</v>
      </c>
      <c r="D24" s="2" t="str">
        <f>IFERROR(((Raw_Data!D24-Raw_Data!D42)/Raw_Data!D42),"NA")</f>
        <v>NA</v>
      </c>
      <c r="E24" s="2" t="str">
        <f>IFERROR(((Raw_Data!E24-Raw_Data!E42)/Raw_Data!E42),"NA")</f>
        <v>NA</v>
      </c>
      <c r="F24" s="3">
        <f>IFERROR((Raw_Data!D24/Raw_Data!C24),"NA")</f>
        <v>0.87195121951219512</v>
      </c>
      <c r="G24" s="3" t="str">
        <f t="shared" si="0"/>
        <v>High</v>
      </c>
      <c r="H24" s="4">
        <f>IFERROR((Raw_Data!C24/Raw_Data!E24),"NA")</f>
        <v>3.6936936936936935E-6</v>
      </c>
      <c r="I24" s="4" t="str">
        <f t="shared" si="1"/>
        <v>Negligible</v>
      </c>
    </row>
    <row r="25" spans="1:9">
      <c r="A25">
        <v>2022</v>
      </c>
      <c r="B25" t="s">
        <v>8</v>
      </c>
      <c r="C25" s="2" t="str">
        <f>IFERROR(((Raw_Data!C25-Raw_Data!C43)/Raw_Data!C43),"NA")</f>
        <v>NA</v>
      </c>
      <c r="D25" s="2" t="str">
        <f>IFERROR(((Raw_Data!D25-Raw_Data!D43)/Raw_Data!D43),"NA")</f>
        <v>NA</v>
      </c>
      <c r="E25" s="2" t="str">
        <f>IFERROR(((Raw_Data!E25-Raw_Data!E43)/Raw_Data!E43),"NA")</f>
        <v>NA</v>
      </c>
      <c r="F25" s="3">
        <f>IFERROR((Raw_Data!D25/Raw_Data!C25),"NA")</f>
        <v>9.8201342281879198E-2</v>
      </c>
      <c r="G25" s="3" t="str">
        <f t="shared" si="0"/>
        <v>Low</v>
      </c>
      <c r="H25" s="4">
        <f>IFERROR((Raw_Data!C25/Raw_Data!E25),"NA")</f>
        <v>9.7769028871391066E-4</v>
      </c>
      <c r="I25" s="4" t="str">
        <f t="shared" si="1"/>
        <v>Low</v>
      </c>
    </row>
    <row r="26" spans="1:9">
      <c r="A26">
        <v>2022</v>
      </c>
      <c r="B26" s="13" t="s">
        <v>29</v>
      </c>
      <c r="C26" s="2" t="str">
        <f>IFERROR(((Raw_Data!C26-Raw_Data!C44)/Raw_Data!C44),"NA")</f>
        <v>NA</v>
      </c>
      <c r="D26" s="2" t="str">
        <f>IFERROR(((Raw_Data!D26-Raw_Data!D44)/Raw_Data!D44),"NA")</f>
        <v>NA</v>
      </c>
      <c r="E26" s="2" t="str">
        <f>IFERROR(((Raw_Data!E26-Raw_Data!E44)/Raw_Data!E44),"NA")</f>
        <v>NA</v>
      </c>
      <c r="F26" s="3">
        <f>IFERROR((Raw_Data!D26/Raw_Data!C26),"NA")</f>
        <v>0.91034482758620694</v>
      </c>
      <c r="G26" s="3" t="str">
        <f t="shared" si="0"/>
        <v>High</v>
      </c>
      <c r="H26" s="4">
        <f>IFERROR((Raw_Data!C26/Raw_Data!E26),"NA")</f>
        <v>8.7878787878787874E-4</v>
      </c>
      <c r="I26" s="4" t="str">
        <f t="shared" si="1"/>
        <v>Low</v>
      </c>
    </row>
    <row r="27" spans="1:9">
      <c r="A27">
        <v>2022</v>
      </c>
      <c r="B27" t="s">
        <v>9</v>
      </c>
      <c r="C27" s="2" t="str">
        <f>IFERROR(((Raw_Data!C27-Raw_Data!C45)/Raw_Data!C45),"NA")</f>
        <v>NA</v>
      </c>
      <c r="D27" s="2" t="str">
        <f>IFERROR(((Raw_Data!D27-Raw_Data!D45)/Raw_Data!D45),"NA")</f>
        <v>NA</v>
      </c>
      <c r="E27" s="2" t="str">
        <f>IFERROR(((Raw_Data!E27-Raw_Data!E45)/Raw_Data!E45),"NA")</f>
        <v>NA</v>
      </c>
      <c r="F27" s="3">
        <f>IFERROR((Raw_Data!D27/Raw_Data!C27),"NA")</f>
        <v>0</v>
      </c>
      <c r="G27" s="3" t="str">
        <f t="shared" si="0"/>
        <v>No Export</v>
      </c>
      <c r="H27" s="4">
        <f>IFERROR((Raw_Data!C27/Raw_Data!E27),"NA")</f>
        <v>1.0897804154302671E-3</v>
      </c>
      <c r="I27" s="4" t="str">
        <f t="shared" si="1"/>
        <v>Moderate</v>
      </c>
    </row>
    <row r="28" spans="1:9">
      <c r="A28">
        <v>2022</v>
      </c>
      <c r="B28" t="s">
        <v>10</v>
      </c>
      <c r="C28" s="2" t="str">
        <f>IFERROR(((Raw_Data!C28-Raw_Data!C46)/Raw_Data!C46),"NA")</f>
        <v>NA</v>
      </c>
      <c r="D28" s="2" t="str">
        <f>IFERROR(((Raw_Data!D28-Raw_Data!D46)/Raw_Data!D46),"NA")</f>
        <v>NA</v>
      </c>
      <c r="E28" s="2" t="str">
        <f>IFERROR(((Raw_Data!E28-Raw_Data!E46)/Raw_Data!E46),"NA")</f>
        <v>NA</v>
      </c>
      <c r="F28" s="3">
        <f>IFERROR((Raw_Data!D28/Raw_Data!C28),"NA")</f>
        <v>0</v>
      </c>
      <c r="G28" s="3" t="str">
        <f t="shared" si="0"/>
        <v>No Export</v>
      </c>
      <c r="H28" s="4">
        <f>IFERROR((Raw_Data!C28/Raw_Data!E28),"NA")</f>
        <v>1.1617405582922824E-7</v>
      </c>
      <c r="I28" s="4" t="str">
        <f t="shared" si="1"/>
        <v>Negligible</v>
      </c>
    </row>
    <row r="29" spans="1:9">
      <c r="A29">
        <v>2022</v>
      </c>
      <c r="B29" t="s">
        <v>11</v>
      </c>
      <c r="C29" s="2" t="str">
        <f>IFERROR(((Raw_Data!C29-Raw_Data!C47)/Raw_Data!C47),"NA")</f>
        <v>NA</v>
      </c>
      <c r="D29" s="2" t="str">
        <f>IFERROR(((Raw_Data!D29-Raw_Data!D47)/Raw_Data!D47),"NA")</f>
        <v>NA</v>
      </c>
      <c r="E29" s="2" t="str">
        <f>IFERROR(((Raw_Data!E29-Raw_Data!E47)/Raw_Data!E47),"NA")</f>
        <v>NA</v>
      </c>
      <c r="F29" s="3">
        <f>IFERROR((Raw_Data!D29/Raw_Data!C29),"NA")</f>
        <v>0</v>
      </c>
      <c r="G29" s="3" t="str">
        <f t="shared" si="0"/>
        <v>No Export</v>
      </c>
      <c r="H29" s="4">
        <f>IFERROR((Raw_Data!C29/Raw_Data!E29),"NA")</f>
        <v>2.2419108280254778E-3</v>
      </c>
      <c r="I29" s="4" t="str">
        <f t="shared" si="1"/>
        <v>Moderate</v>
      </c>
    </row>
    <row r="30" spans="1:9">
      <c r="A30">
        <v>2022</v>
      </c>
      <c r="B30" t="s">
        <v>12</v>
      </c>
      <c r="C30" s="2" t="str">
        <f>IFERROR(((Raw_Data!C30-Raw_Data!C48)/Raw_Data!C48),"NA")</f>
        <v>NA</v>
      </c>
      <c r="D30" s="2" t="str">
        <f>IFERROR(((Raw_Data!D30-Raw_Data!D48)/Raw_Data!D48),"NA")</f>
        <v>NA</v>
      </c>
      <c r="E30" s="2" t="str">
        <f>IFERROR(((Raw_Data!E30-Raw_Data!E48)/Raw_Data!E48),"NA")</f>
        <v>NA</v>
      </c>
      <c r="F30" s="3">
        <f>IFERROR((Raw_Data!D30/Raw_Data!C30),"NA")</f>
        <v>0.81594300460002245</v>
      </c>
      <c r="G30" s="3" t="str">
        <f t="shared" si="0"/>
        <v>High</v>
      </c>
      <c r="H30" s="4">
        <f>IFERROR((Raw_Data!C30/Raw_Data!E30),"NA")</f>
        <v>5.1224137931034485E-3</v>
      </c>
      <c r="I30" s="4" t="str">
        <f t="shared" si="1"/>
        <v>Moderate</v>
      </c>
    </row>
    <row r="31" spans="1:9">
      <c r="A31">
        <v>2022</v>
      </c>
      <c r="B31" t="s">
        <v>13</v>
      </c>
      <c r="C31" s="2" t="str">
        <f>IFERROR(((Raw_Data!C31-Raw_Data!C49)/Raw_Data!C49),"NA")</f>
        <v>NA</v>
      </c>
      <c r="D31" s="2" t="str">
        <f>IFERROR(((Raw_Data!D31-Raw_Data!D49)/Raw_Data!D49),"NA")</f>
        <v>NA</v>
      </c>
      <c r="E31" s="2" t="str">
        <f>IFERROR(((Raw_Data!E31-Raw_Data!E49)/Raw_Data!E49),"NA")</f>
        <v>NA</v>
      </c>
      <c r="F31" s="3">
        <f>IFERROR((Raw_Data!D31/Raw_Data!C31),"NA")</f>
        <v>0</v>
      </c>
      <c r="G31" s="3" t="str">
        <f t="shared" si="0"/>
        <v>No Export</v>
      </c>
      <c r="H31" s="4" t="str">
        <f>IFERROR((Raw_Data!C31/Raw_Data!E31),"NA")</f>
        <v>NA</v>
      </c>
      <c r="I31" s="4" t="str">
        <f t="shared" si="1"/>
        <v>NA</v>
      </c>
    </row>
    <row r="32" spans="1:9">
      <c r="A32">
        <v>2022</v>
      </c>
      <c r="B32" t="s">
        <v>15</v>
      </c>
      <c r="C32" s="2" t="str">
        <f>IFERROR(((Raw_Data!C32-Raw_Data!C50)/Raw_Data!C50),"NA")</f>
        <v>NA</v>
      </c>
      <c r="D32" s="2" t="str">
        <f>IFERROR(((Raw_Data!D32-Raw_Data!D50)/Raw_Data!D50),"NA")</f>
        <v>NA</v>
      </c>
      <c r="E32" s="2" t="str">
        <f>IFERROR(((Raw_Data!E32-Raw_Data!E50)/Raw_Data!E50),"NA")</f>
        <v>NA</v>
      </c>
      <c r="F32" s="3">
        <f>IFERROR((Raw_Data!D32/Raw_Data!C32),"NA")</f>
        <v>0.50299666174986413</v>
      </c>
      <c r="G32" s="3" t="str">
        <f t="shared" si="0"/>
        <v>Medium</v>
      </c>
      <c r="H32" s="4">
        <f>IFERROR((Raw_Data!C32/Raw_Data!E32),"NA")</f>
        <v>0.31863945578231295</v>
      </c>
      <c r="I32" s="4" t="str">
        <f t="shared" si="1"/>
        <v>Significant</v>
      </c>
    </row>
    <row r="33" spans="1:9">
      <c r="A33">
        <v>2022</v>
      </c>
      <c r="B33" t="s">
        <v>16</v>
      </c>
      <c r="C33" s="2" t="str">
        <f>IFERROR(((Raw_Data!C33-Raw_Data!C51)/Raw_Data!C51),"NA")</f>
        <v>NA</v>
      </c>
      <c r="D33" s="2" t="str">
        <f>IFERROR(((Raw_Data!D33-Raw_Data!D51)/Raw_Data!D51),"NA")</f>
        <v>NA</v>
      </c>
      <c r="E33" s="2" t="str">
        <f>IFERROR(((Raw_Data!E33-Raw_Data!E51)/Raw_Data!E51),"NA")</f>
        <v>NA</v>
      </c>
      <c r="F33" s="3">
        <f>IFERROR((Raw_Data!D33/Raw_Data!C33),"NA")</f>
        <v>0.26779019530831577</v>
      </c>
      <c r="G33" s="3" t="str">
        <f t="shared" si="0"/>
        <v>Medium</v>
      </c>
      <c r="H33" s="4">
        <f>IFERROR((Raw_Data!C33/Raw_Data!E33),"NA")</f>
        <v>1.025897435897436E-3</v>
      </c>
      <c r="I33" s="4" t="str">
        <f t="shared" si="1"/>
        <v>Moderate</v>
      </c>
    </row>
    <row r="34" spans="1:9">
      <c r="A34">
        <v>2022</v>
      </c>
      <c r="B34" t="s">
        <v>17</v>
      </c>
      <c r="C34" s="2" t="str">
        <f>IFERROR(((Raw_Data!C34-Raw_Data!C52)/Raw_Data!C52),"NA")</f>
        <v>NA</v>
      </c>
      <c r="D34" s="2" t="str">
        <f>IFERROR(((Raw_Data!D34-Raw_Data!D52)/Raw_Data!D52),"NA")</f>
        <v>NA</v>
      </c>
      <c r="E34" s="2" t="str">
        <f>IFERROR(((Raw_Data!E34-Raw_Data!E52)/Raw_Data!E52),"NA")</f>
        <v>NA</v>
      </c>
      <c r="F34" s="3">
        <f>IFERROR((Raw_Data!D34/Raw_Data!C34),"NA")</f>
        <v>85.86666666666666</v>
      </c>
      <c r="G34" s="3" t="str">
        <f t="shared" si="0"/>
        <v>Above Unity</v>
      </c>
      <c r="H34" s="4">
        <f>IFERROR((Raw_Data!C34/Raw_Data!E34),"NA")</f>
        <v>5.4744525547445253E-5</v>
      </c>
      <c r="I34" s="4" t="str">
        <f t="shared" si="1"/>
        <v>Negligible</v>
      </c>
    </row>
    <row r="35" spans="1:9">
      <c r="A35">
        <v>2022</v>
      </c>
      <c r="B35" s="13" t="s">
        <v>28</v>
      </c>
      <c r="C35" s="2" t="str">
        <f>IFERROR(((Raw_Data!C35-Raw_Data!C53)/Raw_Data!C53),"NA")</f>
        <v>NA</v>
      </c>
      <c r="D35" s="2" t="str">
        <f>IFERROR(((Raw_Data!D35-Raw_Data!D53)/Raw_Data!D53),"NA")</f>
        <v>NA</v>
      </c>
      <c r="E35" s="2" t="str">
        <f>IFERROR(((Raw_Data!E35-Raw_Data!E53)/Raw_Data!E53),"NA")</f>
        <v>NA</v>
      </c>
      <c r="F35" s="3">
        <f>IFERROR((Raw_Data!D35/Raw_Data!C35),"NA")</f>
        <v>7.6923076923076923E-4</v>
      </c>
      <c r="G35" s="3" t="str">
        <f t="shared" si="0"/>
        <v>Low</v>
      </c>
      <c r="H35" s="4">
        <f>IFERROR((Raw_Data!C35/Raw_Data!E35),"NA")</f>
        <v>9.4202898550724643E-3</v>
      </c>
      <c r="I35" s="4" t="str">
        <f t="shared" si="1"/>
        <v>Moderate</v>
      </c>
    </row>
    <row r="36" spans="1:9">
      <c r="A36">
        <v>2022</v>
      </c>
      <c r="B36" t="s">
        <v>18</v>
      </c>
      <c r="C36" s="2" t="str">
        <f>IFERROR(((Raw_Data!C36-Raw_Data!C54)/Raw_Data!C54),"NA")</f>
        <v>NA</v>
      </c>
      <c r="D36" s="2" t="str">
        <f>IFERROR(((Raw_Data!D36-Raw_Data!D54)/Raw_Data!D54),"NA")</f>
        <v>NA</v>
      </c>
      <c r="E36" s="2" t="str">
        <f>IFERROR(((Raw_Data!E36-Raw_Data!E54)/Raw_Data!E54),"NA")</f>
        <v>NA</v>
      </c>
      <c r="F36" s="3">
        <f>IFERROR((Raw_Data!D36/Raw_Data!C36),"NA")</f>
        <v>9.75</v>
      </c>
      <c r="G36" s="3" t="str">
        <f t="shared" si="0"/>
        <v>Above Unity</v>
      </c>
      <c r="H36" s="4">
        <f>IFERROR((Raw_Data!C36/Raw_Data!E36),"NA")</f>
        <v>2.8571428571428571E-3</v>
      </c>
      <c r="I36" s="4" t="str">
        <f t="shared" si="1"/>
        <v>Moderate</v>
      </c>
    </row>
    <row r="37" spans="1:9">
      <c r="A37">
        <v>2022</v>
      </c>
      <c r="B37" t="s">
        <v>19</v>
      </c>
      <c r="C37" s="2" t="str">
        <f>IFERROR(((Raw_Data!C37-Raw_Data!C55)/Raw_Data!C55),"NA")</f>
        <v>NA</v>
      </c>
      <c r="D37" s="2" t="str">
        <f>IFERROR(((Raw_Data!D37-Raw_Data!D55)/Raw_Data!D55),"NA")</f>
        <v>NA</v>
      </c>
      <c r="E37" s="2" t="str">
        <f>IFERROR(((Raw_Data!E37-Raw_Data!E55)/Raw_Data!E55),"NA")</f>
        <v>NA</v>
      </c>
      <c r="F37" s="3">
        <f>IFERROR((Raw_Data!D37/Raw_Data!C37),"NA")</f>
        <v>5.5164692082111433</v>
      </c>
      <c r="G37" s="3" t="str">
        <f t="shared" si="0"/>
        <v>Above Unity</v>
      </c>
      <c r="H37" s="4">
        <f>IFERROR((Raw_Data!C37/Raw_Data!E37),"NA")</f>
        <v>5.9407665505226484E-2</v>
      </c>
      <c r="I37" s="4" t="str">
        <f t="shared" si="1"/>
        <v>Significant</v>
      </c>
    </row>
  </sheetData>
  <conditionalFormatting sqref="C2:C37">
    <cfRule type="expression" dxfId="5" priority="5">
      <formula>AND(ISNUMBER(C2), C2&lt;0)</formula>
    </cfRule>
    <cfRule type="expression" dxfId="4" priority="6">
      <formula>AND(ISNUMBER(C2), C2&gt;0)</formula>
    </cfRule>
  </conditionalFormatting>
  <conditionalFormatting sqref="D2:D37">
    <cfRule type="expression" dxfId="3" priority="3">
      <formula>AND(ISNUMBER(D2), D2&lt;0)</formula>
    </cfRule>
    <cfRule type="expression" dxfId="2" priority="4">
      <formula>AND(ISNUMBER(D2), D2&gt;0)</formula>
    </cfRule>
  </conditionalFormatting>
  <conditionalFormatting sqref="E2:E37">
    <cfRule type="expression" dxfId="1" priority="1">
      <formula>AND(ISNUMBER(E2), E2&lt;0)</formula>
    </cfRule>
    <cfRule type="expression" dxfId="0" priority="2">
      <formula>AND(ISNUMBER(E2), E2&gt;0)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3CD5-D01B-43A9-952A-94D7062EEB4B}">
  <dimension ref="A1:H138"/>
  <sheetViews>
    <sheetView zoomScale="85" zoomScaleNormal="85" workbookViewId="0">
      <selection activeCell="H62" sqref="H62"/>
    </sheetView>
  </sheetViews>
  <sheetFormatPr defaultRowHeight="15"/>
  <cols>
    <col min="1" max="1" width="13.42578125" bestFit="1" customWidth="1"/>
    <col min="2" max="2" width="10.85546875" customWidth="1"/>
    <col min="3" max="3" width="12.140625" bestFit="1" customWidth="1"/>
    <col min="4" max="4" width="13.85546875" customWidth="1"/>
    <col min="5" max="5" width="15.28515625" customWidth="1"/>
    <col min="6" max="6" width="15.7109375" bestFit="1" customWidth="1"/>
    <col min="7" max="7" width="17.140625" customWidth="1"/>
    <col min="8" max="8" width="23.140625" customWidth="1"/>
    <col min="9" max="9" width="15.140625" customWidth="1"/>
    <col min="10" max="10" width="10.42578125" customWidth="1"/>
    <col min="11" max="11" width="13.85546875" bestFit="1" customWidth="1"/>
    <col min="12" max="12" width="11.140625" customWidth="1"/>
    <col min="13" max="13" width="10.42578125" customWidth="1"/>
    <col min="14" max="14" width="12.140625" customWidth="1"/>
    <col min="15" max="15" width="13.85546875" bestFit="1" customWidth="1"/>
    <col min="16" max="16" width="11.85546875" customWidth="1"/>
  </cols>
  <sheetData>
    <row r="1" spans="1:2">
      <c r="A1" t="s">
        <v>21</v>
      </c>
      <c r="B1" s="2" t="s">
        <v>22</v>
      </c>
    </row>
    <row r="2" spans="1:2">
      <c r="A2" t="s">
        <v>7</v>
      </c>
      <c r="B2" s="2">
        <v>-1</v>
      </c>
    </row>
    <row r="3" spans="1:2">
      <c r="A3" t="s">
        <v>5</v>
      </c>
      <c r="B3" s="2">
        <v>-0.97435897435897434</v>
      </c>
    </row>
    <row r="4" spans="1:2">
      <c r="A4" t="s">
        <v>11</v>
      </c>
      <c r="B4" s="2">
        <v>-0.95738394226944712</v>
      </c>
    </row>
    <row r="5" spans="1:2">
      <c r="A5" t="s">
        <v>16</v>
      </c>
      <c r="B5" s="2">
        <v>-0.93573035312600417</v>
      </c>
    </row>
    <row r="6" spans="1:2">
      <c r="A6" t="s">
        <v>9</v>
      </c>
      <c r="B6" s="2">
        <v>-0.75365859237153376</v>
      </c>
    </row>
    <row r="7" spans="1:2">
      <c r="A7" t="s">
        <v>30</v>
      </c>
      <c r="B7" s="2">
        <v>-0.68461434141379895</v>
      </c>
    </row>
    <row r="8" spans="1:2">
      <c r="A8" t="s">
        <v>6</v>
      </c>
      <c r="B8" s="2">
        <v>-0.67998082643002877</v>
      </c>
    </row>
    <row r="9" spans="1:2">
      <c r="A9" t="s">
        <v>8</v>
      </c>
      <c r="B9" s="2">
        <v>-6.8965517241379226E-2</v>
      </c>
    </row>
    <row r="10" spans="1:2">
      <c r="A10" t="s">
        <v>28</v>
      </c>
      <c r="B10" s="2">
        <v>-9.2307692307692316E-3</v>
      </c>
    </row>
    <row r="11" spans="1:2">
      <c r="A11" t="s">
        <v>13</v>
      </c>
      <c r="B11" s="2">
        <v>0.31658721887127528</v>
      </c>
    </row>
    <row r="12" spans="1:2">
      <c r="A12" t="s">
        <v>18</v>
      </c>
      <c r="B12" s="2">
        <v>0.34749999999999992</v>
      </c>
    </row>
    <row r="13" spans="1:2">
      <c r="A13" t="s">
        <v>15</v>
      </c>
      <c r="B13" s="2">
        <v>0.52001572082912806</v>
      </c>
    </row>
    <row r="14" spans="1:2">
      <c r="A14" t="s">
        <v>12</v>
      </c>
      <c r="B14" s="2">
        <v>0.63584651632446987</v>
      </c>
    </row>
    <row r="15" spans="1:2">
      <c r="A15" t="s">
        <v>29</v>
      </c>
      <c r="B15" s="2">
        <v>1.0557089932885908</v>
      </c>
    </row>
    <row r="16" spans="1:2">
      <c r="A16" t="s">
        <v>19</v>
      </c>
      <c r="B16" s="2">
        <v>1.7230205278592374</v>
      </c>
    </row>
    <row r="17" spans="1:2">
      <c r="A17" t="s">
        <v>27</v>
      </c>
      <c r="B17" s="2">
        <v>1.8022922636103151</v>
      </c>
    </row>
    <row r="18" spans="1:2" hidden="1">
      <c r="A18" t="s">
        <v>17</v>
      </c>
      <c r="B18" s="2">
        <v>8.6666666666666661</v>
      </c>
    </row>
    <row r="19" spans="1:2" hidden="1">
      <c r="A19" t="s">
        <v>10</v>
      </c>
      <c r="B19" s="2">
        <v>30.434628975265017</v>
      </c>
    </row>
    <row r="22" spans="1:2">
      <c r="A22" t="s">
        <v>21</v>
      </c>
      <c r="B22" s="2" t="s">
        <v>23</v>
      </c>
    </row>
    <row r="23" spans="1:2">
      <c r="A23" t="s">
        <v>29</v>
      </c>
      <c r="B23" s="2">
        <v>-1</v>
      </c>
    </row>
    <row r="24" spans="1:2">
      <c r="A24" t="s">
        <v>30</v>
      </c>
      <c r="B24" s="2">
        <v>-0.97399863031791978</v>
      </c>
    </row>
    <row r="25" spans="1:2">
      <c r="A25" t="s">
        <v>7</v>
      </c>
      <c r="B25" s="2">
        <v>-0.65034965034965031</v>
      </c>
    </row>
    <row r="26" spans="1:2">
      <c r="A26" t="s">
        <v>19</v>
      </c>
      <c r="B26" s="2">
        <v>-0.58311980760357152</v>
      </c>
    </row>
    <row r="27" spans="1:2">
      <c r="A27" t="s">
        <v>8</v>
      </c>
      <c r="B27" s="2">
        <v>-0.3636363636363637</v>
      </c>
    </row>
    <row r="28" spans="1:2">
      <c r="A28" t="s">
        <v>12</v>
      </c>
      <c r="B28" s="2">
        <v>-0.18982468202131317</v>
      </c>
    </row>
    <row r="29" spans="1:2">
      <c r="A29" t="s">
        <v>6</v>
      </c>
      <c r="B29" s="2">
        <v>0.26442622950819672</v>
      </c>
    </row>
    <row r="30" spans="1:2">
      <c r="A30" t="s">
        <v>15</v>
      </c>
      <c r="B30" s="2">
        <v>0.38472164343813176</v>
      </c>
    </row>
    <row r="31" spans="1:2">
      <c r="A31" t="s">
        <v>18</v>
      </c>
      <c r="B31" s="2">
        <v>0.66666666666666663</v>
      </c>
    </row>
    <row r="32" spans="1:2">
      <c r="A32" t="s">
        <v>16</v>
      </c>
      <c r="B32" s="2">
        <v>1.4</v>
      </c>
    </row>
    <row r="33" spans="1:2">
      <c r="A33" t="s">
        <v>17</v>
      </c>
      <c r="B33" s="2">
        <v>3.0512422360248448</v>
      </c>
    </row>
    <row r="34" spans="1:2">
      <c r="A34" t="s">
        <v>28</v>
      </c>
      <c r="B34" s="2">
        <v>5.12</v>
      </c>
    </row>
    <row r="35" spans="1:2" hidden="1">
      <c r="A35" t="s">
        <v>5</v>
      </c>
      <c r="B35" s="2" t="s">
        <v>14</v>
      </c>
    </row>
    <row r="36" spans="1:2" hidden="1">
      <c r="A36" t="s">
        <v>27</v>
      </c>
      <c r="B36" s="2" t="s">
        <v>14</v>
      </c>
    </row>
    <row r="37" spans="1:2" hidden="1">
      <c r="A37" t="s">
        <v>9</v>
      </c>
      <c r="B37" s="2" t="s">
        <v>14</v>
      </c>
    </row>
    <row r="38" spans="1:2" hidden="1">
      <c r="A38" t="s">
        <v>10</v>
      </c>
      <c r="B38" s="2" t="s">
        <v>14</v>
      </c>
    </row>
    <row r="39" spans="1:2" hidden="1">
      <c r="A39" t="s">
        <v>11</v>
      </c>
      <c r="B39" s="2" t="s">
        <v>14</v>
      </c>
    </row>
    <row r="40" spans="1:2" hidden="1">
      <c r="A40" t="s">
        <v>13</v>
      </c>
      <c r="B40" s="2" t="s">
        <v>14</v>
      </c>
    </row>
    <row r="43" spans="1:2">
      <c r="A43" t="s">
        <v>21</v>
      </c>
      <c r="B43" s="2" t="s">
        <v>24</v>
      </c>
    </row>
    <row r="44" spans="1:2">
      <c r="A44" t="s">
        <v>29</v>
      </c>
      <c r="B44" s="2">
        <v>-0.15223097112860892</v>
      </c>
    </row>
    <row r="45" spans="1:2">
      <c r="A45" t="s">
        <v>11</v>
      </c>
      <c r="B45" s="2">
        <v>-8.9171974522292988E-2</v>
      </c>
    </row>
    <row r="46" spans="1:2">
      <c r="A46" t="s">
        <v>12</v>
      </c>
      <c r="B46" s="2">
        <v>-7.4712643678160925E-2</v>
      </c>
    </row>
    <row r="47" spans="1:2">
      <c r="A47" t="s">
        <v>16</v>
      </c>
      <c r="B47" s="2">
        <v>-2.9304029304029304E-2</v>
      </c>
    </row>
    <row r="48" spans="1:2">
      <c r="A48" t="s">
        <v>5</v>
      </c>
      <c r="B48" s="2">
        <v>0</v>
      </c>
    </row>
    <row r="49" spans="1:8">
      <c r="A49" t="s">
        <v>8</v>
      </c>
      <c r="B49" s="2">
        <v>0</v>
      </c>
    </row>
    <row r="50" spans="1:8">
      <c r="A50" t="s">
        <v>9</v>
      </c>
      <c r="B50" s="2">
        <v>7.121661721068249E-3</v>
      </c>
    </row>
    <row r="51" spans="1:8">
      <c r="A51" t="s">
        <v>19</v>
      </c>
      <c r="B51" s="2">
        <v>1.3937282229965157E-2</v>
      </c>
    </row>
    <row r="52" spans="1:8">
      <c r="A52" t="s">
        <v>10</v>
      </c>
      <c r="B52" s="2">
        <v>2.9146141215106731E-2</v>
      </c>
    </row>
    <row r="53" spans="1:8">
      <c r="A53" t="s">
        <v>6</v>
      </c>
      <c r="B53" s="2">
        <v>3.187748156551333E-2</v>
      </c>
    </row>
    <row r="54" spans="1:8">
      <c r="A54" t="s">
        <v>7</v>
      </c>
      <c r="B54" s="2">
        <v>3.6036036036036036E-2</v>
      </c>
    </row>
    <row r="55" spans="1:8">
      <c r="A55" t="s">
        <v>27</v>
      </c>
      <c r="B55" s="2">
        <v>6.6442170703276779E-2</v>
      </c>
    </row>
    <row r="56" spans="1:8">
      <c r="A56" t="s">
        <v>28</v>
      </c>
      <c r="B56" s="2">
        <v>0.10144927536231885</v>
      </c>
    </row>
    <row r="57" spans="1:8">
      <c r="A57" t="s">
        <v>17</v>
      </c>
      <c r="B57" s="2">
        <v>0.10218978102189781</v>
      </c>
    </row>
    <row r="58" spans="1:8">
      <c r="A58" t="s">
        <v>18</v>
      </c>
      <c r="B58" s="2">
        <v>0.14285714285714285</v>
      </c>
    </row>
    <row r="59" spans="1:8">
      <c r="A59" t="s">
        <v>15</v>
      </c>
      <c r="B59" s="2">
        <v>0.2974644403215832</v>
      </c>
    </row>
    <row r="60" spans="1:8" hidden="1">
      <c r="A60" t="s">
        <v>30</v>
      </c>
      <c r="B60" s="2" t="s">
        <v>14</v>
      </c>
    </row>
    <row r="61" spans="1:8" hidden="1">
      <c r="A61" t="s">
        <v>13</v>
      </c>
      <c r="B61" s="2" t="s">
        <v>14</v>
      </c>
    </row>
    <row r="64" spans="1:8" ht="30">
      <c r="A64" t="s">
        <v>20</v>
      </c>
      <c r="B64" t="s">
        <v>21</v>
      </c>
      <c r="C64" t="s">
        <v>31</v>
      </c>
      <c r="D64" s="10" t="s">
        <v>3</v>
      </c>
      <c r="F64" t="s">
        <v>31</v>
      </c>
      <c r="G64" t="s">
        <v>41</v>
      </c>
      <c r="H64" t="s">
        <v>42</v>
      </c>
    </row>
    <row r="65" spans="1:8">
      <c r="A65">
        <v>2023</v>
      </c>
      <c r="B65" t="s">
        <v>5</v>
      </c>
      <c r="C65" t="s">
        <v>33</v>
      </c>
      <c r="D65" s="8">
        <v>0</v>
      </c>
      <c r="F65" t="s">
        <v>33</v>
      </c>
      <c r="G65">
        <f>SUMIF(C65:C82, F65, Table7[EXPORT VOL.
(Tonnes)])</f>
        <v>0</v>
      </c>
      <c r="H65">
        <f>COUNTIF(Table7[Export_Intensity_Category], F65)</f>
        <v>9</v>
      </c>
    </row>
    <row r="66" spans="1:8">
      <c r="A66">
        <v>2023</v>
      </c>
      <c r="B66" t="s">
        <v>27</v>
      </c>
      <c r="C66" t="s">
        <v>35</v>
      </c>
      <c r="D66" s="8">
        <v>189</v>
      </c>
      <c r="F66" t="s">
        <v>35</v>
      </c>
      <c r="G66">
        <f>SUMIF(Table7[Export_Intensity_Category], F66, Table7[EXPORT VOL.
(Tonnes)])</f>
        <v>147203</v>
      </c>
      <c r="H66">
        <f>COUNTIF(Table7[Export_Intensity_Category], F66)</f>
        <v>7</v>
      </c>
    </row>
    <row r="67" spans="1:8">
      <c r="A67">
        <v>2023</v>
      </c>
      <c r="B67" t="s">
        <v>6</v>
      </c>
      <c r="C67" t="s">
        <v>37</v>
      </c>
      <c r="D67" s="8">
        <v>154260</v>
      </c>
      <c r="F67" t="s">
        <v>37</v>
      </c>
      <c r="G67">
        <f>SUMIF(Table7[Export_Intensity_Category], F67, Table7[EXPORT VOL.
(Tonnes)])</f>
        <v>294613.08</v>
      </c>
      <c r="H67">
        <f>COUNTIF(Table7[Export_Intensity_Category], F67)</f>
        <v>8</v>
      </c>
    </row>
    <row r="68" spans="1:8">
      <c r="A68">
        <v>2023</v>
      </c>
      <c r="B68" t="s">
        <v>30</v>
      </c>
      <c r="C68" t="s">
        <v>37</v>
      </c>
      <c r="D68" s="8">
        <v>1128</v>
      </c>
      <c r="F68" t="s">
        <v>40</v>
      </c>
      <c r="G68">
        <f>SUMIF(Table7[Export_Intensity_Category], F68, Table7[EXPORT VOL.
(Tonnes)])</f>
        <v>76720.14</v>
      </c>
      <c r="H68">
        <f>COUNTIF(Table7[Export_Intensity_Category], F68)</f>
        <v>4</v>
      </c>
    </row>
    <row r="69" spans="1:8" hidden="1">
      <c r="A69">
        <v>2023</v>
      </c>
      <c r="B69" t="s">
        <v>7</v>
      </c>
      <c r="C69" t="s">
        <v>14</v>
      </c>
      <c r="D69" s="8">
        <v>25</v>
      </c>
      <c r="G69">
        <f>SUMIF(Table7[Export_Intensity_Category], F69, Table7[EXPORT VOL.
(Tonnes)])</f>
        <v>0</v>
      </c>
      <c r="H69">
        <f>COUNTIF(Table7[Export_Intensity_Category], F69)</f>
        <v>0</v>
      </c>
    </row>
    <row r="70" spans="1:8">
      <c r="A70">
        <v>2023</v>
      </c>
      <c r="B70" s="13" t="s">
        <v>29</v>
      </c>
      <c r="C70" t="s">
        <v>33</v>
      </c>
      <c r="D70" s="8">
        <v>0</v>
      </c>
      <c r="F70" t="s">
        <v>39</v>
      </c>
      <c r="G70">
        <f>SUMIF(Table7[Export_Intensity_Category], F70, Table7[EXPORT VOL.
(Tonnes)])</f>
        <v>95397.91</v>
      </c>
      <c r="H70">
        <f>COUNTIF(Table7[Export_Intensity_Category], F70)</f>
        <v>7</v>
      </c>
    </row>
    <row r="71" spans="1:8">
      <c r="A71">
        <v>2023</v>
      </c>
      <c r="B71" t="s">
        <v>8</v>
      </c>
      <c r="C71" t="s">
        <v>37</v>
      </c>
      <c r="D71" s="8">
        <v>1.68</v>
      </c>
    </row>
    <row r="72" spans="1:8">
      <c r="A72">
        <v>2023</v>
      </c>
      <c r="B72" t="s">
        <v>9</v>
      </c>
      <c r="C72" t="s">
        <v>35</v>
      </c>
      <c r="D72" s="8">
        <v>1000</v>
      </c>
    </row>
    <row r="73" spans="1:8">
      <c r="A73">
        <v>2023</v>
      </c>
      <c r="B73" t="s">
        <v>10</v>
      </c>
      <c r="C73" t="s">
        <v>37</v>
      </c>
      <c r="D73" s="8">
        <v>3500</v>
      </c>
    </row>
    <row r="74" spans="1:8">
      <c r="A74">
        <v>2023</v>
      </c>
      <c r="B74" t="s">
        <v>11</v>
      </c>
      <c r="C74" t="s">
        <v>33</v>
      </c>
      <c r="D74" s="8">
        <v>0</v>
      </c>
    </row>
    <row r="75" spans="1:8">
      <c r="A75">
        <v>2023</v>
      </c>
      <c r="B75" t="s">
        <v>12</v>
      </c>
      <c r="C75" t="s">
        <v>37</v>
      </c>
      <c r="D75" s="8">
        <v>58920</v>
      </c>
    </row>
    <row r="76" spans="1:8">
      <c r="A76">
        <v>2023</v>
      </c>
      <c r="B76" t="s">
        <v>13</v>
      </c>
      <c r="C76" t="s">
        <v>35</v>
      </c>
      <c r="D76" s="8">
        <v>20000</v>
      </c>
    </row>
    <row r="77" spans="1:8">
      <c r="A77">
        <v>2023</v>
      </c>
      <c r="B77" t="s">
        <v>15</v>
      </c>
      <c r="C77" t="s">
        <v>37</v>
      </c>
      <c r="D77" s="8">
        <v>35887</v>
      </c>
    </row>
    <row r="78" spans="1:8">
      <c r="A78">
        <v>2023</v>
      </c>
      <c r="B78" t="s">
        <v>16</v>
      </c>
      <c r="C78" t="s">
        <v>39</v>
      </c>
      <c r="D78" s="8">
        <v>36000</v>
      </c>
    </row>
    <row r="79" spans="1:8">
      <c r="A79">
        <v>2023</v>
      </c>
      <c r="B79" t="s">
        <v>17</v>
      </c>
      <c r="C79" t="s">
        <v>39</v>
      </c>
      <c r="D79" s="8">
        <v>5218</v>
      </c>
    </row>
    <row r="80" spans="1:8">
      <c r="A80">
        <v>2023</v>
      </c>
      <c r="B80" s="13" t="s">
        <v>28</v>
      </c>
      <c r="C80" t="s">
        <v>35</v>
      </c>
      <c r="D80" s="8">
        <v>306</v>
      </c>
    </row>
    <row r="81" spans="1:4">
      <c r="A81">
        <v>2023</v>
      </c>
      <c r="B81" t="s">
        <v>18</v>
      </c>
      <c r="C81" t="s">
        <v>39</v>
      </c>
      <c r="D81" s="8">
        <v>65</v>
      </c>
    </row>
    <row r="82" spans="1:4">
      <c r="A82">
        <v>2023</v>
      </c>
      <c r="B82" t="s">
        <v>19</v>
      </c>
      <c r="C82" t="s">
        <v>40</v>
      </c>
      <c r="D82" s="8">
        <v>3921</v>
      </c>
    </row>
    <row r="83" spans="1:4">
      <c r="A83">
        <v>2022</v>
      </c>
      <c r="B83" t="s">
        <v>5</v>
      </c>
      <c r="C83" t="s">
        <v>33</v>
      </c>
      <c r="D83" s="8">
        <v>0</v>
      </c>
    </row>
    <row r="84" spans="1:4">
      <c r="A84">
        <v>2022</v>
      </c>
      <c r="B84" s="13" t="s">
        <v>27</v>
      </c>
      <c r="C84" t="s">
        <v>33</v>
      </c>
      <c r="D84" s="8">
        <v>0</v>
      </c>
    </row>
    <row r="85" spans="1:4">
      <c r="A85">
        <v>2022</v>
      </c>
      <c r="B85" t="s">
        <v>6</v>
      </c>
      <c r="C85" t="s">
        <v>35</v>
      </c>
      <c r="D85" s="8">
        <v>122000</v>
      </c>
    </row>
    <row r="86" spans="1:4">
      <c r="A86">
        <v>2022</v>
      </c>
      <c r="B86" s="13" t="s">
        <v>30</v>
      </c>
      <c r="C86" t="s">
        <v>39</v>
      </c>
      <c r="D86" s="8">
        <v>43382.33</v>
      </c>
    </row>
    <row r="87" spans="1:4">
      <c r="A87">
        <v>2022</v>
      </c>
      <c r="B87" t="s">
        <v>7</v>
      </c>
      <c r="C87" t="s">
        <v>40</v>
      </c>
      <c r="D87" s="8">
        <v>71.5</v>
      </c>
    </row>
    <row r="88" spans="1:4">
      <c r="A88">
        <v>2022</v>
      </c>
      <c r="B88" t="s">
        <v>8</v>
      </c>
      <c r="C88" t="s">
        <v>35</v>
      </c>
      <c r="D88" s="8">
        <v>3658</v>
      </c>
    </row>
    <row r="89" spans="1:4">
      <c r="A89">
        <v>2022</v>
      </c>
      <c r="B89" s="13" t="s">
        <v>29</v>
      </c>
      <c r="C89" t="s">
        <v>40</v>
      </c>
      <c r="D89" s="8">
        <v>2.64</v>
      </c>
    </row>
    <row r="90" spans="1:4">
      <c r="A90">
        <v>2022</v>
      </c>
      <c r="B90" t="s">
        <v>9</v>
      </c>
      <c r="C90" t="s">
        <v>33</v>
      </c>
      <c r="D90" s="8">
        <v>0</v>
      </c>
    </row>
    <row r="91" spans="1:4">
      <c r="A91">
        <v>2022</v>
      </c>
      <c r="B91" t="s">
        <v>10</v>
      </c>
      <c r="C91" t="s">
        <v>33</v>
      </c>
      <c r="D91" s="8">
        <v>0</v>
      </c>
    </row>
    <row r="92" spans="1:4">
      <c r="A92">
        <v>2022</v>
      </c>
      <c r="B92" t="s">
        <v>11</v>
      </c>
      <c r="C92" t="s">
        <v>33</v>
      </c>
      <c r="D92" s="8">
        <v>0</v>
      </c>
    </row>
    <row r="93" spans="1:4">
      <c r="A93">
        <v>2022</v>
      </c>
      <c r="B93" t="s">
        <v>12</v>
      </c>
      <c r="C93" t="s">
        <v>40</v>
      </c>
      <c r="D93" s="8">
        <v>72725</v>
      </c>
    </row>
    <row r="94" spans="1:4">
      <c r="A94">
        <v>2022</v>
      </c>
      <c r="B94" t="s">
        <v>13</v>
      </c>
      <c r="C94" t="s">
        <v>33</v>
      </c>
      <c r="D94" s="8">
        <v>0</v>
      </c>
    </row>
    <row r="95" spans="1:4">
      <c r="A95">
        <v>2022</v>
      </c>
      <c r="B95" t="s">
        <v>15</v>
      </c>
      <c r="C95" t="s">
        <v>37</v>
      </c>
      <c r="D95" s="8">
        <v>25916.400000000001</v>
      </c>
    </row>
    <row r="96" spans="1:4">
      <c r="A96">
        <v>2022</v>
      </c>
      <c r="B96" t="s">
        <v>16</v>
      </c>
      <c r="C96" t="s">
        <v>37</v>
      </c>
      <c r="D96" s="8">
        <v>15000</v>
      </c>
    </row>
    <row r="97" spans="1:7">
      <c r="A97">
        <v>2022</v>
      </c>
      <c r="B97" t="s">
        <v>17</v>
      </c>
      <c r="C97" t="s">
        <v>39</v>
      </c>
      <c r="D97" s="8">
        <v>1288</v>
      </c>
    </row>
    <row r="98" spans="1:7">
      <c r="A98">
        <v>2022</v>
      </c>
      <c r="B98" s="13" t="s">
        <v>28</v>
      </c>
      <c r="C98" t="s">
        <v>35</v>
      </c>
      <c r="D98" s="8">
        <v>50</v>
      </c>
    </row>
    <row r="99" spans="1:7">
      <c r="A99">
        <v>2022</v>
      </c>
      <c r="B99" t="s">
        <v>18</v>
      </c>
      <c r="C99" t="s">
        <v>39</v>
      </c>
      <c r="D99" s="8">
        <v>39</v>
      </c>
    </row>
    <row r="100" spans="1:7">
      <c r="A100">
        <v>2022</v>
      </c>
      <c r="B100" t="s">
        <v>19</v>
      </c>
      <c r="C100" t="s">
        <v>39</v>
      </c>
      <c r="D100" s="8">
        <v>9405.58</v>
      </c>
    </row>
    <row r="102" spans="1:7">
      <c r="A102" t="s">
        <v>20</v>
      </c>
      <c r="B102" t="s">
        <v>21</v>
      </c>
      <c r="C102" s="18" t="s">
        <v>32</v>
      </c>
      <c r="E102" t="s">
        <v>32</v>
      </c>
      <c r="F102" s="19" t="s">
        <v>42</v>
      </c>
      <c r="G102" s="19"/>
    </row>
    <row r="103" spans="1:7">
      <c r="A103">
        <v>2023</v>
      </c>
      <c r="B103" t="s">
        <v>5</v>
      </c>
      <c r="C103" t="s">
        <v>34</v>
      </c>
      <c r="E103" s="19" t="s">
        <v>35</v>
      </c>
      <c r="F103">
        <f>COUNTIF(Table8[Global_Share_Category], E103)</f>
        <v>8</v>
      </c>
    </row>
    <row r="104" spans="1:7">
      <c r="A104">
        <v>2023</v>
      </c>
      <c r="B104" t="s">
        <v>27</v>
      </c>
      <c r="C104" t="s">
        <v>36</v>
      </c>
      <c r="E104" s="19" t="s">
        <v>38</v>
      </c>
      <c r="F104">
        <f>COUNTIF(Table8[Global_Share_Category], E104)</f>
        <v>10</v>
      </c>
    </row>
    <row r="105" spans="1:7">
      <c r="A105">
        <v>2023</v>
      </c>
      <c r="B105" t="s">
        <v>6</v>
      </c>
      <c r="C105" t="s">
        <v>34</v>
      </c>
      <c r="E105" s="19" t="s">
        <v>36</v>
      </c>
      <c r="F105">
        <f>COUNTIF(Table8[Global_Share_Category], E105)</f>
        <v>6</v>
      </c>
    </row>
    <row r="106" spans="1:7" hidden="1">
      <c r="A106">
        <v>2023</v>
      </c>
      <c r="B106" t="s">
        <v>30</v>
      </c>
      <c r="C106" t="s">
        <v>14</v>
      </c>
      <c r="F106">
        <f>COUNTIF(Table8[Global_Share_Category], E106)</f>
        <v>0</v>
      </c>
    </row>
    <row r="107" spans="1:7">
      <c r="A107">
        <v>2023</v>
      </c>
      <c r="B107" t="s">
        <v>7</v>
      </c>
      <c r="C107" t="s">
        <v>34</v>
      </c>
      <c r="E107" s="19" t="s">
        <v>34</v>
      </c>
      <c r="F107">
        <f>COUNTIF(Table8[Global_Share_Category], E107)</f>
        <v>8</v>
      </c>
    </row>
    <row r="108" spans="1:7">
      <c r="A108">
        <v>2023</v>
      </c>
      <c r="B108" t="s">
        <v>29</v>
      </c>
      <c r="C108" t="s">
        <v>38</v>
      </c>
    </row>
    <row r="109" spans="1:7">
      <c r="A109">
        <v>2023</v>
      </c>
      <c r="B109" t="s">
        <v>8</v>
      </c>
      <c r="C109" t="s">
        <v>35</v>
      </c>
    </row>
    <row r="110" spans="1:7">
      <c r="A110">
        <v>2023</v>
      </c>
      <c r="B110" t="s">
        <v>9</v>
      </c>
      <c r="C110" t="s">
        <v>35</v>
      </c>
    </row>
    <row r="111" spans="1:7">
      <c r="A111">
        <v>2023</v>
      </c>
      <c r="B111" t="s">
        <v>10</v>
      </c>
      <c r="C111" t="s">
        <v>34</v>
      </c>
    </row>
    <row r="112" spans="1:7">
      <c r="A112">
        <v>2023</v>
      </c>
      <c r="B112" t="s">
        <v>11</v>
      </c>
      <c r="C112" t="s">
        <v>35</v>
      </c>
    </row>
    <row r="113" spans="1:3">
      <c r="A113">
        <v>2023</v>
      </c>
      <c r="B113" t="s">
        <v>12</v>
      </c>
      <c r="C113" t="s">
        <v>38</v>
      </c>
    </row>
    <row r="114" spans="1:3" hidden="1">
      <c r="A114">
        <v>2023</v>
      </c>
      <c r="B114" t="s">
        <v>13</v>
      </c>
      <c r="C114" t="s">
        <v>14</v>
      </c>
    </row>
    <row r="115" spans="1:3">
      <c r="A115">
        <v>2023</v>
      </c>
      <c r="B115" t="s">
        <v>15</v>
      </c>
      <c r="C115" t="s">
        <v>36</v>
      </c>
    </row>
    <row r="116" spans="1:3">
      <c r="A116">
        <v>2023</v>
      </c>
      <c r="B116" t="s">
        <v>16</v>
      </c>
      <c r="C116" t="s">
        <v>34</v>
      </c>
    </row>
    <row r="117" spans="1:3">
      <c r="A117">
        <v>2023</v>
      </c>
      <c r="B117" t="s">
        <v>17</v>
      </c>
      <c r="C117" t="s">
        <v>35</v>
      </c>
    </row>
    <row r="118" spans="1:3">
      <c r="A118">
        <v>2023</v>
      </c>
      <c r="B118" t="s">
        <v>28</v>
      </c>
      <c r="C118" t="s">
        <v>38</v>
      </c>
    </row>
    <row r="119" spans="1:3">
      <c r="A119">
        <v>2023</v>
      </c>
      <c r="B119" t="s">
        <v>18</v>
      </c>
      <c r="C119" t="s">
        <v>38</v>
      </c>
    </row>
    <row r="120" spans="1:3">
      <c r="A120">
        <v>2023</v>
      </c>
      <c r="B120" t="s">
        <v>19</v>
      </c>
      <c r="C120" t="s">
        <v>36</v>
      </c>
    </row>
    <row r="121" spans="1:3">
      <c r="A121">
        <v>2022</v>
      </c>
      <c r="B121" t="s">
        <v>5</v>
      </c>
      <c r="C121" t="s">
        <v>35</v>
      </c>
    </row>
    <row r="122" spans="1:3">
      <c r="A122">
        <v>2022</v>
      </c>
      <c r="B122" t="s">
        <v>27</v>
      </c>
      <c r="C122" t="s">
        <v>36</v>
      </c>
    </row>
    <row r="123" spans="1:3">
      <c r="A123">
        <v>2022</v>
      </c>
      <c r="B123" t="s">
        <v>6</v>
      </c>
      <c r="C123" t="s">
        <v>35</v>
      </c>
    </row>
    <row r="124" spans="1:3" hidden="1">
      <c r="A124">
        <v>2022</v>
      </c>
      <c r="B124" t="s">
        <v>30</v>
      </c>
      <c r="C124" t="s">
        <v>14</v>
      </c>
    </row>
    <row r="125" spans="1:3">
      <c r="A125">
        <v>2022</v>
      </c>
      <c r="B125" t="s">
        <v>7</v>
      </c>
      <c r="C125" t="s">
        <v>34</v>
      </c>
    </row>
    <row r="126" spans="1:3">
      <c r="A126">
        <v>2022</v>
      </c>
      <c r="B126" t="s">
        <v>29</v>
      </c>
      <c r="C126" t="s">
        <v>35</v>
      </c>
    </row>
    <row r="127" spans="1:3">
      <c r="A127">
        <v>2022</v>
      </c>
      <c r="B127" t="s">
        <v>8</v>
      </c>
      <c r="C127" t="s">
        <v>35</v>
      </c>
    </row>
    <row r="128" spans="1:3">
      <c r="A128">
        <v>2022</v>
      </c>
      <c r="B128" t="s">
        <v>9</v>
      </c>
      <c r="C128" t="s">
        <v>38</v>
      </c>
    </row>
    <row r="129" spans="1:3">
      <c r="A129">
        <v>2022</v>
      </c>
      <c r="B129" t="s">
        <v>10</v>
      </c>
      <c r="C129" t="s">
        <v>34</v>
      </c>
    </row>
    <row r="130" spans="1:3">
      <c r="A130">
        <v>2022</v>
      </c>
      <c r="B130" t="s">
        <v>11</v>
      </c>
      <c r="C130" t="s">
        <v>38</v>
      </c>
    </row>
    <row r="131" spans="1:3">
      <c r="A131">
        <v>2022</v>
      </c>
      <c r="B131" t="s">
        <v>12</v>
      </c>
      <c r="C131" t="s">
        <v>38</v>
      </c>
    </row>
    <row r="132" spans="1:3" hidden="1">
      <c r="A132">
        <v>2022</v>
      </c>
      <c r="B132" t="s">
        <v>13</v>
      </c>
      <c r="C132" t="s">
        <v>14</v>
      </c>
    </row>
    <row r="133" spans="1:3">
      <c r="A133">
        <v>2022</v>
      </c>
      <c r="B133" t="s">
        <v>15</v>
      </c>
      <c r="C133" t="s">
        <v>36</v>
      </c>
    </row>
    <row r="134" spans="1:3">
      <c r="A134">
        <v>2022</v>
      </c>
      <c r="B134" t="s">
        <v>16</v>
      </c>
      <c r="C134" t="s">
        <v>38</v>
      </c>
    </row>
    <row r="135" spans="1:3">
      <c r="A135">
        <v>2022</v>
      </c>
      <c r="B135" t="s">
        <v>17</v>
      </c>
      <c r="C135" t="s">
        <v>34</v>
      </c>
    </row>
    <row r="136" spans="1:3">
      <c r="A136">
        <v>2022</v>
      </c>
      <c r="B136" t="s">
        <v>28</v>
      </c>
      <c r="C136" t="s">
        <v>38</v>
      </c>
    </row>
    <row r="137" spans="1:3">
      <c r="A137">
        <v>2022</v>
      </c>
      <c r="B137" t="s">
        <v>18</v>
      </c>
      <c r="C137" t="s">
        <v>38</v>
      </c>
    </row>
    <row r="138" spans="1:3">
      <c r="A138">
        <v>2022</v>
      </c>
      <c r="B138" t="s">
        <v>19</v>
      </c>
      <c r="C138" t="s">
        <v>36</v>
      </c>
    </row>
  </sheetData>
  <phoneticPr fontId="7" type="noConversion"/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KPIs</vt:lpstr>
      <vt:lpstr>KPIs_Copy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2025-09-02T11:11:00Z</dcterms:created>
  <dcterms:modified xsi:type="dcterms:W3CDTF">2026-01-17T16:35:43Z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A7197A44A77C42F7BF0138D4DE1F4404_12</vt:lpwstr>
  </property>
  <property fmtid="{D5CDD505-2E9C-101B-9397-08002B2CF9AE}" pid="3" name="KSOProductBuildVer">
    <vt:lpwstr>1033-12.2.0.23196</vt:lpwstr>
  </property>
</Properties>
</file>